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abrielcrepeaut-cauchon/Box Sync/Ulaval/Automne_2017/ACT1001_Math_Fin/Notes de cours LaTeX/"/>
    </mc:Choice>
  </mc:AlternateContent>
  <bookViews>
    <workbookView xWindow="0" yWindow="460" windowWidth="28800" windowHeight="17540" tabRatio="500" activeTab="8"/>
  </bookViews>
  <sheets>
    <sheet name="Investment_Growth" sheetId="1" r:id="rId1"/>
    <sheet name="Calcul_Math-fin" sheetId="6" r:id="rId2"/>
    <sheet name="Loan_Amort" sheetId="3" r:id="rId3"/>
    <sheet name="Net_Present_Value" sheetId="7" r:id="rId4"/>
    <sheet name="Time_vs_Dollar_rate" sheetId="8" r:id="rId5"/>
    <sheet name="Bond_Amort" sheetId="5" r:id="rId6"/>
    <sheet name="spot_foward_rate" sheetId="9" r:id="rId7"/>
    <sheet name="Duration_Convexity" sheetId="10" r:id="rId8"/>
    <sheet name="Immunization" sheetId="11" r:id="rId9"/>
  </sheets>
  <definedNames>
    <definedName name="capital">Investment_Growth!$B$2</definedName>
    <definedName name="interest">Investment_Growth!$B$1</definedName>
    <definedName name="price">Duration_Convexity!$B$9</definedName>
    <definedName name="WACC">Net_Present_Value!$B$1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P16" i="7" l="1"/>
  <c r="KP26" i="7"/>
  <c r="KP27" i="7"/>
  <c r="A34" i="7"/>
  <c r="A33" i="7"/>
  <c r="A32" i="7"/>
  <c r="A31" i="7"/>
  <c r="A30" i="7"/>
  <c r="A29" i="7"/>
  <c r="KP29" i="7"/>
  <c r="KP30" i="7"/>
  <c r="KP31" i="7"/>
  <c r="KP32" i="7"/>
  <c r="KP33" i="7"/>
  <c r="KP34" i="7"/>
  <c r="A35" i="7"/>
  <c r="KP35" i="7"/>
  <c r="A36" i="7"/>
  <c r="KP36" i="7"/>
  <c r="A37" i="7"/>
  <c r="KP37" i="7"/>
  <c r="A38" i="7"/>
  <c r="KP38" i="7"/>
  <c r="A39" i="7"/>
  <c r="KP39" i="7"/>
  <c r="A40" i="7"/>
  <c r="KP40" i="7"/>
  <c r="KP41" i="7"/>
  <c r="KP42" i="7"/>
  <c r="KP43" i="7"/>
  <c r="C16" i="7"/>
  <c r="C26" i="7"/>
  <c r="C27" i="7"/>
  <c r="C29" i="7"/>
  <c r="D16" i="7"/>
  <c r="D26" i="7"/>
  <c r="D27" i="7"/>
  <c r="D29" i="7"/>
  <c r="E16" i="7"/>
  <c r="E26" i="7"/>
  <c r="E27" i="7"/>
  <c r="E29" i="7"/>
  <c r="F16" i="7"/>
  <c r="F26" i="7"/>
  <c r="F27" i="7"/>
  <c r="F29" i="7"/>
  <c r="G16" i="7"/>
  <c r="G26" i="7"/>
  <c r="G27" i="7"/>
  <c r="G29" i="7"/>
  <c r="H16" i="7"/>
  <c r="H26" i="7"/>
  <c r="H27" i="7"/>
  <c r="H29" i="7"/>
  <c r="I16" i="7"/>
  <c r="I26" i="7"/>
  <c r="I27" i="7"/>
  <c r="I29" i="7"/>
  <c r="J16" i="7"/>
  <c r="J26" i="7"/>
  <c r="J27" i="7"/>
  <c r="J29" i="7"/>
  <c r="K16" i="7"/>
  <c r="K26" i="7"/>
  <c r="K27" i="7"/>
  <c r="K29" i="7"/>
  <c r="L16" i="7"/>
  <c r="L26" i="7"/>
  <c r="L27" i="7"/>
  <c r="L29" i="7"/>
  <c r="M16" i="7"/>
  <c r="M26" i="7"/>
  <c r="M27" i="7"/>
  <c r="M29" i="7"/>
  <c r="N16" i="7"/>
  <c r="N26" i="7"/>
  <c r="N27" i="7"/>
  <c r="N29" i="7"/>
  <c r="O16" i="7"/>
  <c r="O26" i="7"/>
  <c r="O27" i="7"/>
  <c r="O29" i="7"/>
  <c r="P16" i="7"/>
  <c r="P26" i="7"/>
  <c r="P27" i="7"/>
  <c r="P29" i="7"/>
  <c r="Q16" i="7"/>
  <c r="Q26" i="7"/>
  <c r="Q27" i="7"/>
  <c r="Q29" i="7"/>
  <c r="R16" i="7"/>
  <c r="R26" i="7"/>
  <c r="R27" i="7"/>
  <c r="R29" i="7"/>
  <c r="S16" i="7"/>
  <c r="S26" i="7"/>
  <c r="S27" i="7"/>
  <c r="S29" i="7"/>
  <c r="T16" i="7"/>
  <c r="T26" i="7"/>
  <c r="T27" i="7"/>
  <c r="T29" i="7"/>
  <c r="U16" i="7"/>
  <c r="U26" i="7"/>
  <c r="U27" i="7"/>
  <c r="U29" i="7"/>
  <c r="V16" i="7"/>
  <c r="V26" i="7"/>
  <c r="V27" i="7"/>
  <c r="V29" i="7"/>
  <c r="W16" i="7"/>
  <c r="W26" i="7"/>
  <c r="W27" i="7"/>
  <c r="W29" i="7"/>
  <c r="X16" i="7"/>
  <c r="X26" i="7"/>
  <c r="X27" i="7"/>
  <c r="X29" i="7"/>
  <c r="Y16" i="7"/>
  <c r="Y26" i="7"/>
  <c r="Y27" i="7"/>
  <c r="Y29" i="7"/>
  <c r="Z16" i="7"/>
  <c r="Z26" i="7"/>
  <c r="Z27" i="7"/>
  <c r="Z29" i="7"/>
  <c r="AA16" i="7"/>
  <c r="AA26" i="7"/>
  <c r="AA27" i="7"/>
  <c r="AA29" i="7"/>
  <c r="AB16" i="7"/>
  <c r="AB26" i="7"/>
  <c r="AB27" i="7"/>
  <c r="AB29" i="7"/>
  <c r="AC16" i="7"/>
  <c r="AC26" i="7"/>
  <c r="AC27" i="7"/>
  <c r="AC29" i="7"/>
  <c r="AD16" i="7"/>
  <c r="AD26" i="7"/>
  <c r="AD27" i="7"/>
  <c r="AD29" i="7"/>
  <c r="AE16" i="7"/>
  <c r="AE26" i="7"/>
  <c r="AE27" i="7"/>
  <c r="AE29" i="7"/>
  <c r="AF16" i="7"/>
  <c r="AF26" i="7"/>
  <c r="AF27" i="7"/>
  <c r="AF29" i="7"/>
  <c r="AG16" i="7"/>
  <c r="AG26" i="7"/>
  <c r="AG27" i="7"/>
  <c r="AG29" i="7"/>
  <c r="AH16" i="7"/>
  <c r="AH26" i="7"/>
  <c r="AH27" i="7"/>
  <c r="AH29" i="7"/>
  <c r="AI16" i="7"/>
  <c r="AI26" i="7"/>
  <c r="AI27" i="7"/>
  <c r="AI29" i="7"/>
  <c r="AJ16" i="7"/>
  <c r="AJ26" i="7"/>
  <c r="AJ27" i="7"/>
  <c r="AJ29" i="7"/>
  <c r="AK16" i="7"/>
  <c r="AK26" i="7"/>
  <c r="AK27" i="7"/>
  <c r="AK29" i="7"/>
  <c r="AL16" i="7"/>
  <c r="AL26" i="7"/>
  <c r="AL27" i="7"/>
  <c r="AL29" i="7"/>
  <c r="AM16" i="7"/>
  <c r="AM26" i="7"/>
  <c r="AM27" i="7"/>
  <c r="AM29" i="7"/>
  <c r="AN16" i="7"/>
  <c r="AN26" i="7"/>
  <c r="AN27" i="7"/>
  <c r="AN29" i="7"/>
  <c r="AO16" i="7"/>
  <c r="AO26" i="7"/>
  <c r="AO27" i="7"/>
  <c r="AO29" i="7"/>
  <c r="AP16" i="7"/>
  <c r="AP26" i="7"/>
  <c r="AP27" i="7"/>
  <c r="AP29" i="7"/>
  <c r="AQ16" i="7"/>
  <c r="AQ26" i="7"/>
  <c r="AQ27" i="7"/>
  <c r="AQ29" i="7"/>
  <c r="AR16" i="7"/>
  <c r="AR26" i="7"/>
  <c r="AR27" i="7"/>
  <c r="AR29" i="7"/>
  <c r="AS16" i="7"/>
  <c r="AS26" i="7"/>
  <c r="AS27" i="7"/>
  <c r="AS29" i="7"/>
  <c r="AT16" i="7"/>
  <c r="AT26" i="7"/>
  <c r="AT27" i="7"/>
  <c r="AT29" i="7"/>
  <c r="AU16" i="7"/>
  <c r="AU26" i="7"/>
  <c r="AU27" i="7"/>
  <c r="AU29" i="7"/>
  <c r="AV16" i="7"/>
  <c r="AV26" i="7"/>
  <c r="AV27" i="7"/>
  <c r="AV29" i="7"/>
  <c r="AW16" i="7"/>
  <c r="AW26" i="7"/>
  <c r="AW27" i="7"/>
  <c r="AW29" i="7"/>
  <c r="AX16" i="7"/>
  <c r="AX26" i="7"/>
  <c r="AX27" i="7"/>
  <c r="AX29" i="7"/>
  <c r="AY16" i="7"/>
  <c r="AY26" i="7"/>
  <c r="AY27" i="7"/>
  <c r="AY29" i="7"/>
  <c r="AZ16" i="7"/>
  <c r="AZ26" i="7"/>
  <c r="AZ27" i="7"/>
  <c r="AZ29" i="7"/>
  <c r="BA16" i="7"/>
  <c r="BA26" i="7"/>
  <c r="BA27" i="7"/>
  <c r="BA29" i="7"/>
  <c r="BB16" i="7"/>
  <c r="BB26" i="7"/>
  <c r="BB27" i="7"/>
  <c r="BB29" i="7"/>
  <c r="BC16" i="7"/>
  <c r="BC26" i="7"/>
  <c r="BC27" i="7"/>
  <c r="BC29" i="7"/>
  <c r="BD16" i="7"/>
  <c r="BD26" i="7"/>
  <c r="BD27" i="7"/>
  <c r="BD29" i="7"/>
  <c r="BE16" i="7"/>
  <c r="BE26" i="7"/>
  <c r="BE27" i="7"/>
  <c r="BE29" i="7"/>
  <c r="BF16" i="7"/>
  <c r="BF26" i="7"/>
  <c r="BF27" i="7"/>
  <c r="BF29" i="7"/>
  <c r="BG16" i="7"/>
  <c r="BG26" i="7"/>
  <c r="BG27" i="7"/>
  <c r="BG29" i="7"/>
  <c r="BH16" i="7"/>
  <c r="BH26" i="7"/>
  <c r="BH27" i="7"/>
  <c r="BH29" i="7"/>
  <c r="BI16" i="7"/>
  <c r="BI26" i="7"/>
  <c r="BI27" i="7"/>
  <c r="BI29" i="7"/>
  <c r="BJ16" i="7"/>
  <c r="BJ26" i="7"/>
  <c r="BJ27" i="7"/>
  <c r="BJ29" i="7"/>
  <c r="BK16" i="7"/>
  <c r="BK26" i="7"/>
  <c r="BK27" i="7"/>
  <c r="BK29" i="7"/>
  <c r="BL16" i="7"/>
  <c r="BL26" i="7"/>
  <c r="BL27" i="7"/>
  <c r="BL29" i="7"/>
  <c r="BM16" i="7"/>
  <c r="BM26" i="7"/>
  <c r="BM27" i="7"/>
  <c r="BM29" i="7"/>
  <c r="BN16" i="7"/>
  <c r="BN26" i="7"/>
  <c r="BN27" i="7"/>
  <c r="BN29" i="7"/>
  <c r="BO16" i="7"/>
  <c r="BO26" i="7"/>
  <c r="BO27" i="7"/>
  <c r="BO29" i="7"/>
  <c r="BP16" i="7"/>
  <c r="BP26" i="7"/>
  <c r="BP27" i="7"/>
  <c r="BP29" i="7"/>
  <c r="BQ16" i="7"/>
  <c r="BQ26" i="7"/>
  <c r="BQ27" i="7"/>
  <c r="BQ29" i="7"/>
  <c r="BR16" i="7"/>
  <c r="BR26" i="7"/>
  <c r="BR27" i="7"/>
  <c r="BR29" i="7"/>
  <c r="BS16" i="7"/>
  <c r="BS26" i="7"/>
  <c r="BS27" i="7"/>
  <c r="BS29" i="7"/>
  <c r="BT16" i="7"/>
  <c r="BT26" i="7"/>
  <c r="BT27" i="7"/>
  <c r="BT29" i="7"/>
  <c r="BU16" i="7"/>
  <c r="BU26" i="7"/>
  <c r="BU27" i="7"/>
  <c r="BU29" i="7"/>
  <c r="BV16" i="7"/>
  <c r="BV26" i="7"/>
  <c r="BV27" i="7"/>
  <c r="BV29" i="7"/>
  <c r="BW16" i="7"/>
  <c r="BW26" i="7"/>
  <c r="BW27" i="7"/>
  <c r="BW29" i="7"/>
  <c r="BX16" i="7"/>
  <c r="BX26" i="7"/>
  <c r="BX27" i="7"/>
  <c r="BX29" i="7"/>
  <c r="BY16" i="7"/>
  <c r="BY26" i="7"/>
  <c r="BY27" i="7"/>
  <c r="BY29" i="7"/>
  <c r="BZ16" i="7"/>
  <c r="BZ26" i="7"/>
  <c r="BZ27" i="7"/>
  <c r="BZ29" i="7"/>
  <c r="CA16" i="7"/>
  <c r="CA26" i="7"/>
  <c r="CA27" i="7"/>
  <c r="CA29" i="7"/>
  <c r="CB16" i="7"/>
  <c r="CB26" i="7"/>
  <c r="CB27" i="7"/>
  <c r="CB29" i="7"/>
  <c r="CC16" i="7"/>
  <c r="CC26" i="7"/>
  <c r="CC27" i="7"/>
  <c r="CC29" i="7"/>
  <c r="CD16" i="7"/>
  <c r="CD26" i="7"/>
  <c r="CD27" i="7"/>
  <c r="CD29" i="7"/>
  <c r="CE16" i="7"/>
  <c r="CE26" i="7"/>
  <c r="CE27" i="7"/>
  <c r="CE29" i="7"/>
  <c r="CF16" i="7"/>
  <c r="CF26" i="7"/>
  <c r="CF27" i="7"/>
  <c r="CF29" i="7"/>
  <c r="CG16" i="7"/>
  <c r="CG26" i="7"/>
  <c r="CG27" i="7"/>
  <c r="CG29" i="7"/>
  <c r="CH16" i="7"/>
  <c r="CH26" i="7"/>
  <c r="CH27" i="7"/>
  <c r="CH29" i="7"/>
  <c r="CI16" i="7"/>
  <c r="CI26" i="7"/>
  <c r="CI27" i="7"/>
  <c r="CI29" i="7"/>
  <c r="CJ16" i="7"/>
  <c r="CJ26" i="7"/>
  <c r="CJ27" i="7"/>
  <c r="CJ29" i="7"/>
  <c r="CK16" i="7"/>
  <c r="CK26" i="7"/>
  <c r="CK27" i="7"/>
  <c r="CK29" i="7"/>
  <c r="CL16" i="7"/>
  <c r="CL26" i="7"/>
  <c r="CL27" i="7"/>
  <c r="CL29" i="7"/>
  <c r="CM16" i="7"/>
  <c r="CM26" i="7"/>
  <c r="CM27" i="7"/>
  <c r="CM29" i="7"/>
  <c r="CN16" i="7"/>
  <c r="CN26" i="7"/>
  <c r="CN27" i="7"/>
  <c r="CN29" i="7"/>
  <c r="CO16" i="7"/>
  <c r="CO26" i="7"/>
  <c r="CO27" i="7"/>
  <c r="CO29" i="7"/>
  <c r="CP16" i="7"/>
  <c r="CP26" i="7"/>
  <c r="CP27" i="7"/>
  <c r="CP29" i="7"/>
  <c r="CQ16" i="7"/>
  <c r="CQ26" i="7"/>
  <c r="CQ27" i="7"/>
  <c r="CQ29" i="7"/>
  <c r="CR16" i="7"/>
  <c r="CR26" i="7"/>
  <c r="CR27" i="7"/>
  <c r="CR29" i="7"/>
  <c r="CS16" i="7"/>
  <c r="CS26" i="7"/>
  <c r="CS27" i="7"/>
  <c r="CS29" i="7"/>
  <c r="CT16" i="7"/>
  <c r="CT26" i="7"/>
  <c r="CT27" i="7"/>
  <c r="CT29" i="7"/>
  <c r="CU16" i="7"/>
  <c r="CU26" i="7"/>
  <c r="CU27" i="7"/>
  <c r="CU29" i="7"/>
  <c r="CV16" i="7"/>
  <c r="CV26" i="7"/>
  <c r="CV27" i="7"/>
  <c r="CV29" i="7"/>
  <c r="CW16" i="7"/>
  <c r="CW26" i="7"/>
  <c r="CW27" i="7"/>
  <c r="CW29" i="7"/>
  <c r="CX16" i="7"/>
  <c r="CX26" i="7"/>
  <c r="CX27" i="7"/>
  <c r="CX29" i="7"/>
  <c r="CY16" i="7"/>
  <c r="CY26" i="7"/>
  <c r="CY27" i="7"/>
  <c r="CY29" i="7"/>
  <c r="CZ16" i="7"/>
  <c r="CZ26" i="7"/>
  <c r="CZ27" i="7"/>
  <c r="CZ29" i="7"/>
  <c r="DA16" i="7"/>
  <c r="DA26" i="7"/>
  <c r="DA27" i="7"/>
  <c r="DA29" i="7"/>
  <c r="DB16" i="7"/>
  <c r="DB26" i="7"/>
  <c r="DB27" i="7"/>
  <c r="DB29" i="7"/>
  <c r="DC16" i="7"/>
  <c r="DC26" i="7"/>
  <c r="DC27" i="7"/>
  <c r="DC29" i="7"/>
  <c r="DD16" i="7"/>
  <c r="DD26" i="7"/>
  <c r="DD27" i="7"/>
  <c r="DD29" i="7"/>
  <c r="DE16" i="7"/>
  <c r="DE26" i="7"/>
  <c r="DE27" i="7"/>
  <c r="DE29" i="7"/>
  <c r="DF16" i="7"/>
  <c r="DF26" i="7"/>
  <c r="DF27" i="7"/>
  <c r="DF29" i="7"/>
  <c r="DG16" i="7"/>
  <c r="DG26" i="7"/>
  <c r="DG27" i="7"/>
  <c r="DG29" i="7"/>
  <c r="DH16" i="7"/>
  <c r="DH26" i="7"/>
  <c r="DH27" i="7"/>
  <c r="DH29" i="7"/>
  <c r="DI16" i="7"/>
  <c r="DI26" i="7"/>
  <c r="DI27" i="7"/>
  <c r="DI29" i="7"/>
  <c r="DJ16" i="7"/>
  <c r="DJ26" i="7"/>
  <c r="DJ27" i="7"/>
  <c r="DJ29" i="7"/>
  <c r="DK16" i="7"/>
  <c r="DK26" i="7"/>
  <c r="DK27" i="7"/>
  <c r="DK29" i="7"/>
  <c r="DL16" i="7"/>
  <c r="DL26" i="7"/>
  <c r="DL27" i="7"/>
  <c r="DL29" i="7"/>
  <c r="DM16" i="7"/>
  <c r="DM26" i="7"/>
  <c r="DM27" i="7"/>
  <c r="DM29" i="7"/>
  <c r="DN16" i="7"/>
  <c r="DN26" i="7"/>
  <c r="DN27" i="7"/>
  <c r="DN29" i="7"/>
  <c r="DO16" i="7"/>
  <c r="DO26" i="7"/>
  <c r="DO27" i="7"/>
  <c r="DO29" i="7"/>
  <c r="DP16" i="7"/>
  <c r="DP26" i="7"/>
  <c r="DP27" i="7"/>
  <c r="DP29" i="7"/>
  <c r="DQ16" i="7"/>
  <c r="DQ26" i="7"/>
  <c r="DQ27" i="7"/>
  <c r="DQ29" i="7"/>
  <c r="DR16" i="7"/>
  <c r="DR26" i="7"/>
  <c r="DR27" i="7"/>
  <c r="DR29" i="7"/>
  <c r="DS16" i="7"/>
  <c r="DS26" i="7"/>
  <c r="DS27" i="7"/>
  <c r="DS29" i="7"/>
  <c r="DT16" i="7"/>
  <c r="DT26" i="7"/>
  <c r="DT27" i="7"/>
  <c r="DT29" i="7"/>
  <c r="DU16" i="7"/>
  <c r="DU26" i="7"/>
  <c r="DU27" i="7"/>
  <c r="DU29" i="7"/>
  <c r="DV16" i="7"/>
  <c r="DV26" i="7"/>
  <c r="DV27" i="7"/>
  <c r="DV29" i="7"/>
  <c r="DW16" i="7"/>
  <c r="DW26" i="7"/>
  <c r="DW27" i="7"/>
  <c r="DW29" i="7"/>
  <c r="DX16" i="7"/>
  <c r="DX26" i="7"/>
  <c r="DX27" i="7"/>
  <c r="DX29" i="7"/>
  <c r="DY16" i="7"/>
  <c r="DY26" i="7"/>
  <c r="DY27" i="7"/>
  <c r="DY29" i="7"/>
  <c r="DZ16" i="7"/>
  <c r="DZ26" i="7"/>
  <c r="DZ27" i="7"/>
  <c r="DZ29" i="7"/>
  <c r="EA16" i="7"/>
  <c r="EA26" i="7"/>
  <c r="EA27" i="7"/>
  <c r="EA29" i="7"/>
  <c r="EB16" i="7"/>
  <c r="EB26" i="7"/>
  <c r="EB27" i="7"/>
  <c r="EB29" i="7"/>
  <c r="EC16" i="7"/>
  <c r="EC26" i="7"/>
  <c r="EC27" i="7"/>
  <c r="EC29" i="7"/>
  <c r="ED16" i="7"/>
  <c r="ED26" i="7"/>
  <c r="ED27" i="7"/>
  <c r="ED29" i="7"/>
  <c r="EE16" i="7"/>
  <c r="EE26" i="7"/>
  <c r="EE27" i="7"/>
  <c r="EE29" i="7"/>
  <c r="EF16" i="7"/>
  <c r="EF26" i="7"/>
  <c r="EF27" i="7"/>
  <c r="EF29" i="7"/>
  <c r="EG16" i="7"/>
  <c r="EG26" i="7"/>
  <c r="EG27" i="7"/>
  <c r="EG29" i="7"/>
  <c r="EH16" i="7"/>
  <c r="EH26" i="7"/>
  <c r="EH27" i="7"/>
  <c r="EH29" i="7"/>
  <c r="EI16" i="7"/>
  <c r="EI26" i="7"/>
  <c r="EI27" i="7"/>
  <c r="EI29" i="7"/>
  <c r="EJ16" i="7"/>
  <c r="EJ26" i="7"/>
  <c r="EJ27" i="7"/>
  <c r="EJ29" i="7"/>
  <c r="EK16" i="7"/>
  <c r="EK26" i="7"/>
  <c r="EK27" i="7"/>
  <c r="EK29" i="7"/>
  <c r="EL16" i="7"/>
  <c r="EL26" i="7"/>
  <c r="EL27" i="7"/>
  <c r="EL29" i="7"/>
  <c r="EM16" i="7"/>
  <c r="EM26" i="7"/>
  <c r="EM27" i="7"/>
  <c r="EM29" i="7"/>
  <c r="EN16" i="7"/>
  <c r="EN26" i="7"/>
  <c r="EN27" i="7"/>
  <c r="EN29" i="7"/>
  <c r="EO16" i="7"/>
  <c r="EO26" i="7"/>
  <c r="EO27" i="7"/>
  <c r="EO29" i="7"/>
  <c r="EP16" i="7"/>
  <c r="EP26" i="7"/>
  <c r="EP27" i="7"/>
  <c r="EP29" i="7"/>
  <c r="EQ16" i="7"/>
  <c r="EQ26" i="7"/>
  <c r="EQ27" i="7"/>
  <c r="EQ29" i="7"/>
  <c r="ER16" i="7"/>
  <c r="ER26" i="7"/>
  <c r="ER27" i="7"/>
  <c r="ER29" i="7"/>
  <c r="ES16" i="7"/>
  <c r="ES26" i="7"/>
  <c r="ES27" i="7"/>
  <c r="ES29" i="7"/>
  <c r="ET16" i="7"/>
  <c r="ET26" i="7"/>
  <c r="ET27" i="7"/>
  <c r="ET29" i="7"/>
  <c r="EU16" i="7"/>
  <c r="EU26" i="7"/>
  <c r="EU27" i="7"/>
  <c r="EU29" i="7"/>
  <c r="EV16" i="7"/>
  <c r="EV26" i="7"/>
  <c r="EV27" i="7"/>
  <c r="EV29" i="7"/>
  <c r="EW16" i="7"/>
  <c r="EW26" i="7"/>
  <c r="EW27" i="7"/>
  <c r="EW29" i="7"/>
  <c r="EX16" i="7"/>
  <c r="EX26" i="7"/>
  <c r="EX27" i="7"/>
  <c r="EX29" i="7"/>
  <c r="EY16" i="7"/>
  <c r="EY26" i="7"/>
  <c r="EY27" i="7"/>
  <c r="EY29" i="7"/>
  <c r="EZ16" i="7"/>
  <c r="EZ26" i="7"/>
  <c r="EZ27" i="7"/>
  <c r="EZ29" i="7"/>
  <c r="FA16" i="7"/>
  <c r="FA26" i="7"/>
  <c r="FA27" i="7"/>
  <c r="FA29" i="7"/>
  <c r="FB16" i="7"/>
  <c r="FB26" i="7"/>
  <c r="FB27" i="7"/>
  <c r="FB29" i="7"/>
  <c r="FC16" i="7"/>
  <c r="FC26" i="7"/>
  <c r="FC27" i="7"/>
  <c r="FC29" i="7"/>
  <c r="FD16" i="7"/>
  <c r="FD26" i="7"/>
  <c r="FD27" i="7"/>
  <c r="FD29" i="7"/>
  <c r="FE16" i="7"/>
  <c r="FE26" i="7"/>
  <c r="FE27" i="7"/>
  <c r="FE29" i="7"/>
  <c r="FF16" i="7"/>
  <c r="FF26" i="7"/>
  <c r="FF27" i="7"/>
  <c r="FF29" i="7"/>
  <c r="FG16" i="7"/>
  <c r="FG26" i="7"/>
  <c r="FG27" i="7"/>
  <c r="FG29" i="7"/>
  <c r="FH16" i="7"/>
  <c r="FH26" i="7"/>
  <c r="FH27" i="7"/>
  <c r="FH29" i="7"/>
  <c r="FI16" i="7"/>
  <c r="FI26" i="7"/>
  <c r="FI27" i="7"/>
  <c r="FI29" i="7"/>
  <c r="FJ16" i="7"/>
  <c r="FJ26" i="7"/>
  <c r="FJ27" i="7"/>
  <c r="FJ29" i="7"/>
  <c r="FK16" i="7"/>
  <c r="FK26" i="7"/>
  <c r="FK27" i="7"/>
  <c r="FK29" i="7"/>
  <c r="FL16" i="7"/>
  <c r="FL26" i="7"/>
  <c r="FL27" i="7"/>
  <c r="FL29" i="7"/>
  <c r="FM16" i="7"/>
  <c r="FM26" i="7"/>
  <c r="FM27" i="7"/>
  <c r="FM29" i="7"/>
  <c r="FN16" i="7"/>
  <c r="FN26" i="7"/>
  <c r="FN27" i="7"/>
  <c r="FN29" i="7"/>
  <c r="FO16" i="7"/>
  <c r="FO26" i="7"/>
  <c r="FO27" i="7"/>
  <c r="FO29" i="7"/>
  <c r="FP16" i="7"/>
  <c r="FP26" i="7"/>
  <c r="FP27" i="7"/>
  <c r="FP29" i="7"/>
  <c r="FQ16" i="7"/>
  <c r="FQ26" i="7"/>
  <c r="FQ27" i="7"/>
  <c r="FQ29" i="7"/>
  <c r="FR16" i="7"/>
  <c r="FR26" i="7"/>
  <c r="FR27" i="7"/>
  <c r="FR29" i="7"/>
  <c r="FS16" i="7"/>
  <c r="FS26" i="7"/>
  <c r="FS27" i="7"/>
  <c r="FS29" i="7"/>
  <c r="FT16" i="7"/>
  <c r="FT26" i="7"/>
  <c r="FT27" i="7"/>
  <c r="FT29" i="7"/>
  <c r="FU16" i="7"/>
  <c r="FU26" i="7"/>
  <c r="FU27" i="7"/>
  <c r="FU29" i="7"/>
  <c r="FV16" i="7"/>
  <c r="FV26" i="7"/>
  <c r="FV27" i="7"/>
  <c r="FV29" i="7"/>
  <c r="FW16" i="7"/>
  <c r="FW26" i="7"/>
  <c r="FW27" i="7"/>
  <c r="FW29" i="7"/>
  <c r="FX16" i="7"/>
  <c r="FX26" i="7"/>
  <c r="FX27" i="7"/>
  <c r="FX29" i="7"/>
  <c r="FY16" i="7"/>
  <c r="FY26" i="7"/>
  <c r="FY27" i="7"/>
  <c r="FY29" i="7"/>
  <c r="FZ16" i="7"/>
  <c r="FZ26" i="7"/>
  <c r="FZ27" i="7"/>
  <c r="FZ29" i="7"/>
  <c r="GA16" i="7"/>
  <c r="GA26" i="7"/>
  <c r="GA27" i="7"/>
  <c r="GA29" i="7"/>
  <c r="GB16" i="7"/>
  <c r="GB26" i="7"/>
  <c r="GB27" i="7"/>
  <c r="GB29" i="7"/>
  <c r="GC16" i="7"/>
  <c r="GC26" i="7"/>
  <c r="GC27" i="7"/>
  <c r="GC29" i="7"/>
  <c r="GD16" i="7"/>
  <c r="GD26" i="7"/>
  <c r="GD27" i="7"/>
  <c r="GD29" i="7"/>
  <c r="GE16" i="7"/>
  <c r="GE26" i="7"/>
  <c r="GE27" i="7"/>
  <c r="GE29" i="7"/>
  <c r="GF16" i="7"/>
  <c r="GF26" i="7"/>
  <c r="GF27" i="7"/>
  <c r="GF29" i="7"/>
  <c r="GG16" i="7"/>
  <c r="GG26" i="7"/>
  <c r="GG27" i="7"/>
  <c r="GG29" i="7"/>
  <c r="GH16" i="7"/>
  <c r="GH26" i="7"/>
  <c r="GH27" i="7"/>
  <c r="GH29" i="7"/>
  <c r="GI16" i="7"/>
  <c r="GI26" i="7"/>
  <c r="GI27" i="7"/>
  <c r="GI29" i="7"/>
  <c r="GJ16" i="7"/>
  <c r="GJ26" i="7"/>
  <c r="GJ27" i="7"/>
  <c r="GJ29" i="7"/>
  <c r="GK16" i="7"/>
  <c r="GK26" i="7"/>
  <c r="GK27" i="7"/>
  <c r="GK29" i="7"/>
  <c r="GL16" i="7"/>
  <c r="GL26" i="7"/>
  <c r="GL27" i="7"/>
  <c r="GL29" i="7"/>
  <c r="GM16" i="7"/>
  <c r="GM26" i="7"/>
  <c r="GM27" i="7"/>
  <c r="GM29" i="7"/>
  <c r="GN16" i="7"/>
  <c r="GN26" i="7"/>
  <c r="GN27" i="7"/>
  <c r="GN29" i="7"/>
  <c r="GO16" i="7"/>
  <c r="GO26" i="7"/>
  <c r="GO27" i="7"/>
  <c r="GO29" i="7"/>
  <c r="GP16" i="7"/>
  <c r="GP26" i="7"/>
  <c r="GP27" i="7"/>
  <c r="GP29" i="7"/>
  <c r="GQ16" i="7"/>
  <c r="GQ26" i="7"/>
  <c r="GQ27" i="7"/>
  <c r="GQ29" i="7"/>
  <c r="GR16" i="7"/>
  <c r="GR26" i="7"/>
  <c r="GR27" i="7"/>
  <c r="GR29" i="7"/>
  <c r="GS16" i="7"/>
  <c r="GS26" i="7"/>
  <c r="GS27" i="7"/>
  <c r="GS29" i="7"/>
  <c r="GT16" i="7"/>
  <c r="GT26" i="7"/>
  <c r="GT27" i="7"/>
  <c r="GT29" i="7"/>
  <c r="GU16" i="7"/>
  <c r="GU26" i="7"/>
  <c r="GU27" i="7"/>
  <c r="GU29" i="7"/>
  <c r="GV16" i="7"/>
  <c r="GV26" i="7"/>
  <c r="GV27" i="7"/>
  <c r="GV29" i="7"/>
  <c r="GW16" i="7"/>
  <c r="GW26" i="7"/>
  <c r="GW27" i="7"/>
  <c r="GW29" i="7"/>
  <c r="GX16" i="7"/>
  <c r="GX26" i="7"/>
  <c r="GX27" i="7"/>
  <c r="GX29" i="7"/>
  <c r="GY16" i="7"/>
  <c r="GY26" i="7"/>
  <c r="GY27" i="7"/>
  <c r="GY29" i="7"/>
  <c r="GZ16" i="7"/>
  <c r="GZ26" i="7"/>
  <c r="GZ27" i="7"/>
  <c r="GZ29" i="7"/>
  <c r="HA16" i="7"/>
  <c r="HA26" i="7"/>
  <c r="HA27" i="7"/>
  <c r="HA29" i="7"/>
  <c r="HB16" i="7"/>
  <c r="HB26" i="7"/>
  <c r="HB27" i="7"/>
  <c r="HB29" i="7"/>
  <c r="HC16" i="7"/>
  <c r="HC26" i="7"/>
  <c r="HC27" i="7"/>
  <c r="HC29" i="7"/>
  <c r="HD16" i="7"/>
  <c r="HD26" i="7"/>
  <c r="HD27" i="7"/>
  <c r="HD29" i="7"/>
  <c r="HE16" i="7"/>
  <c r="HE26" i="7"/>
  <c r="HE27" i="7"/>
  <c r="HE29" i="7"/>
  <c r="HF16" i="7"/>
  <c r="HF26" i="7"/>
  <c r="HF27" i="7"/>
  <c r="HF29" i="7"/>
  <c r="HG16" i="7"/>
  <c r="HG26" i="7"/>
  <c r="HG27" i="7"/>
  <c r="HG29" i="7"/>
  <c r="HH16" i="7"/>
  <c r="HH26" i="7"/>
  <c r="HH27" i="7"/>
  <c r="HH29" i="7"/>
  <c r="HI16" i="7"/>
  <c r="HI26" i="7"/>
  <c r="HI27" i="7"/>
  <c r="HI29" i="7"/>
  <c r="HJ16" i="7"/>
  <c r="HJ26" i="7"/>
  <c r="HJ27" i="7"/>
  <c r="HJ29" i="7"/>
  <c r="HK16" i="7"/>
  <c r="HK26" i="7"/>
  <c r="HK27" i="7"/>
  <c r="HK29" i="7"/>
  <c r="HL16" i="7"/>
  <c r="HL26" i="7"/>
  <c r="HL27" i="7"/>
  <c r="HL29" i="7"/>
  <c r="HM16" i="7"/>
  <c r="HM26" i="7"/>
  <c r="HM27" i="7"/>
  <c r="HM29" i="7"/>
  <c r="HN16" i="7"/>
  <c r="HN26" i="7"/>
  <c r="HN27" i="7"/>
  <c r="HN29" i="7"/>
  <c r="HO16" i="7"/>
  <c r="HO26" i="7"/>
  <c r="HO27" i="7"/>
  <c r="HO29" i="7"/>
  <c r="HP16" i="7"/>
  <c r="HP26" i="7"/>
  <c r="HP27" i="7"/>
  <c r="HP29" i="7"/>
  <c r="HQ16" i="7"/>
  <c r="HQ26" i="7"/>
  <c r="HQ27" i="7"/>
  <c r="HQ29" i="7"/>
  <c r="HR16" i="7"/>
  <c r="HR26" i="7"/>
  <c r="HR27" i="7"/>
  <c r="HR29" i="7"/>
  <c r="HS16" i="7"/>
  <c r="HS26" i="7"/>
  <c r="HS27" i="7"/>
  <c r="HS29" i="7"/>
  <c r="HT16" i="7"/>
  <c r="HT26" i="7"/>
  <c r="HT27" i="7"/>
  <c r="HT29" i="7"/>
  <c r="HU16" i="7"/>
  <c r="HU26" i="7"/>
  <c r="HU27" i="7"/>
  <c r="HU29" i="7"/>
  <c r="HV16" i="7"/>
  <c r="HV26" i="7"/>
  <c r="HV27" i="7"/>
  <c r="HV29" i="7"/>
  <c r="HW16" i="7"/>
  <c r="HW26" i="7"/>
  <c r="HW27" i="7"/>
  <c r="HW29" i="7"/>
  <c r="HX16" i="7"/>
  <c r="HX26" i="7"/>
  <c r="HX27" i="7"/>
  <c r="HX29" i="7"/>
  <c r="HY16" i="7"/>
  <c r="HY26" i="7"/>
  <c r="HY27" i="7"/>
  <c r="HY29" i="7"/>
  <c r="HZ16" i="7"/>
  <c r="HZ26" i="7"/>
  <c r="HZ27" i="7"/>
  <c r="HZ29" i="7"/>
  <c r="IA16" i="7"/>
  <c r="IA26" i="7"/>
  <c r="IA27" i="7"/>
  <c r="IA29" i="7"/>
  <c r="IB16" i="7"/>
  <c r="IB26" i="7"/>
  <c r="IB27" i="7"/>
  <c r="IB29" i="7"/>
  <c r="IC16" i="7"/>
  <c r="IC26" i="7"/>
  <c r="IC27" i="7"/>
  <c r="IC29" i="7"/>
  <c r="ID16" i="7"/>
  <c r="ID26" i="7"/>
  <c r="ID27" i="7"/>
  <c r="ID29" i="7"/>
  <c r="IE16" i="7"/>
  <c r="IE26" i="7"/>
  <c r="IE27" i="7"/>
  <c r="IE29" i="7"/>
  <c r="IF16" i="7"/>
  <c r="IF26" i="7"/>
  <c r="IF27" i="7"/>
  <c r="IF29" i="7"/>
  <c r="IG16" i="7"/>
  <c r="IG26" i="7"/>
  <c r="IG27" i="7"/>
  <c r="IG29" i="7"/>
  <c r="IH16" i="7"/>
  <c r="IH26" i="7"/>
  <c r="IH27" i="7"/>
  <c r="IH29" i="7"/>
  <c r="II16" i="7"/>
  <c r="II26" i="7"/>
  <c r="II27" i="7"/>
  <c r="II29" i="7"/>
  <c r="IJ16" i="7"/>
  <c r="IJ26" i="7"/>
  <c r="IJ27" i="7"/>
  <c r="IJ29" i="7"/>
  <c r="IK16" i="7"/>
  <c r="IK26" i="7"/>
  <c r="IK27" i="7"/>
  <c r="IK29" i="7"/>
  <c r="IL16" i="7"/>
  <c r="IL26" i="7"/>
  <c r="IL27" i="7"/>
  <c r="IL29" i="7"/>
  <c r="IM16" i="7"/>
  <c r="IM26" i="7"/>
  <c r="IM27" i="7"/>
  <c r="IM29" i="7"/>
  <c r="IN16" i="7"/>
  <c r="IN26" i="7"/>
  <c r="IN27" i="7"/>
  <c r="IN29" i="7"/>
  <c r="IO16" i="7"/>
  <c r="IO26" i="7"/>
  <c r="IO27" i="7"/>
  <c r="IO29" i="7"/>
  <c r="IP16" i="7"/>
  <c r="IP26" i="7"/>
  <c r="IP27" i="7"/>
  <c r="IP29" i="7"/>
  <c r="IQ16" i="7"/>
  <c r="IQ26" i="7"/>
  <c r="IQ27" i="7"/>
  <c r="IQ29" i="7"/>
  <c r="IR16" i="7"/>
  <c r="IR26" i="7"/>
  <c r="IR27" i="7"/>
  <c r="IR29" i="7"/>
  <c r="IS16" i="7"/>
  <c r="IS26" i="7"/>
  <c r="IS27" i="7"/>
  <c r="IS29" i="7"/>
  <c r="IT16" i="7"/>
  <c r="IT26" i="7"/>
  <c r="IT27" i="7"/>
  <c r="IT29" i="7"/>
  <c r="IU16" i="7"/>
  <c r="IU26" i="7"/>
  <c r="IU27" i="7"/>
  <c r="IU29" i="7"/>
  <c r="IV16" i="7"/>
  <c r="IV26" i="7"/>
  <c r="IV27" i="7"/>
  <c r="IV29" i="7"/>
  <c r="IW16" i="7"/>
  <c r="IW26" i="7"/>
  <c r="IW27" i="7"/>
  <c r="IW29" i="7"/>
  <c r="IX16" i="7"/>
  <c r="IX26" i="7"/>
  <c r="IX27" i="7"/>
  <c r="IX29" i="7"/>
  <c r="IY16" i="7"/>
  <c r="IY26" i="7"/>
  <c r="IY27" i="7"/>
  <c r="IY29" i="7"/>
  <c r="IZ16" i="7"/>
  <c r="IZ26" i="7"/>
  <c r="IZ27" i="7"/>
  <c r="IZ29" i="7"/>
  <c r="JA16" i="7"/>
  <c r="JA26" i="7"/>
  <c r="JA27" i="7"/>
  <c r="JA29" i="7"/>
  <c r="JB16" i="7"/>
  <c r="JB26" i="7"/>
  <c r="JB27" i="7"/>
  <c r="JB29" i="7"/>
  <c r="JC16" i="7"/>
  <c r="JC26" i="7"/>
  <c r="JC27" i="7"/>
  <c r="JC29" i="7"/>
  <c r="JD16" i="7"/>
  <c r="JD26" i="7"/>
  <c r="JD27" i="7"/>
  <c r="JD29" i="7"/>
  <c r="JE16" i="7"/>
  <c r="JE26" i="7"/>
  <c r="JE27" i="7"/>
  <c r="JE29" i="7"/>
  <c r="JF16" i="7"/>
  <c r="JF26" i="7"/>
  <c r="JF27" i="7"/>
  <c r="JF29" i="7"/>
  <c r="JG16" i="7"/>
  <c r="JG26" i="7"/>
  <c r="JG27" i="7"/>
  <c r="JG29" i="7"/>
  <c r="JH16" i="7"/>
  <c r="JH26" i="7"/>
  <c r="JH27" i="7"/>
  <c r="JH29" i="7"/>
  <c r="JI16" i="7"/>
  <c r="JI26" i="7"/>
  <c r="JI27" i="7"/>
  <c r="JI29" i="7"/>
  <c r="JJ16" i="7"/>
  <c r="JJ26" i="7"/>
  <c r="JJ27" i="7"/>
  <c r="JJ29" i="7"/>
  <c r="JK16" i="7"/>
  <c r="JK26" i="7"/>
  <c r="JK27" i="7"/>
  <c r="JK29" i="7"/>
  <c r="JL16" i="7"/>
  <c r="JL26" i="7"/>
  <c r="JL27" i="7"/>
  <c r="JL29" i="7"/>
  <c r="JM16" i="7"/>
  <c r="JM26" i="7"/>
  <c r="JM27" i="7"/>
  <c r="JM29" i="7"/>
  <c r="JN16" i="7"/>
  <c r="JN26" i="7"/>
  <c r="JN27" i="7"/>
  <c r="JN29" i="7"/>
  <c r="JO16" i="7"/>
  <c r="JO26" i="7"/>
  <c r="JO27" i="7"/>
  <c r="JO29" i="7"/>
  <c r="JP16" i="7"/>
  <c r="JP26" i="7"/>
  <c r="JP27" i="7"/>
  <c r="JP29" i="7"/>
  <c r="JQ16" i="7"/>
  <c r="JQ26" i="7"/>
  <c r="JQ27" i="7"/>
  <c r="JQ29" i="7"/>
  <c r="JR16" i="7"/>
  <c r="JR26" i="7"/>
  <c r="JR27" i="7"/>
  <c r="JR29" i="7"/>
  <c r="JS16" i="7"/>
  <c r="JS26" i="7"/>
  <c r="JS27" i="7"/>
  <c r="JS29" i="7"/>
  <c r="JT16" i="7"/>
  <c r="JT26" i="7"/>
  <c r="JT27" i="7"/>
  <c r="JT29" i="7"/>
  <c r="JU16" i="7"/>
  <c r="JU26" i="7"/>
  <c r="JU27" i="7"/>
  <c r="JU29" i="7"/>
  <c r="JV16" i="7"/>
  <c r="JV26" i="7"/>
  <c r="JV27" i="7"/>
  <c r="JV29" i="7"/>
  <c r="JW16" i="7"/>
  <c r="JW26" i="7"/>
  <c r="JW27" i="7"/>
  <c r="JW29" i="7"/>
  <c r="JX16" i="7"/>
  <c r="JX26" i="7"/>
  <c r="JX27" i="7"/>
  <c r="JX29" i="7"/>
  <c r="JY16" i="7"/>
  <c r="JY26" i="7"/>
  <c r="JY27" i="7"/>
  <c r="JY29" i="7"/>
  <c r="JZ16" i="7"/>
  <c r="JZ26" i="7"/>
  <c r="JZ27" i="7"/>
  <c r="JZ29" i="7"/>
  <c r="KA16" i="7"/>
  <c r="KA26" i="7"/>
  <c r="KA27" i="7"/>
  <c r="KA29" i="7"/>
  <c r="KB16" i="7"/>
  <c r="KB26" i="7"/>
  <c r="KB27" i="7"/>
  <c r="KB29" i="7"/>
  <c r="KC16" i="7"/>
  <c r="KC26" i="7"/>
  <c r="KC27" i="7"/>
  <c r="KC29" i="7"/>
  <c r="KD16" i="7"/>
  <c r="KD26" i="7"/>
  <c r="KD27" i="7"/>
  <c r="KD29" i="7"/>
  <c r="KE16" i="7"/>
  <c r="KE26" i="7"/>
  <c r="KE27" i="7"/>
  <c r="KE29" i="7"/>
  <c r="KF16" i="7"/>
  <c r="KF26" i="7"/>
  <c r="KF27" i="7"/>
  <c r="KF29" i="7"/>
  <c r="KG16" i="7"/>
  <c r="KG26" i="7"/>
  <c r="KG27" i="7"/>
  <c r="KG29" i="7"/>
  <c r="KH16" i="7"/>
  <c r="KH26" i="7"/>
  <c r="KH27" i="7"/>
  <c r="KH29" i="7"/>
  <c r="KI16" i="7"/>
  <c r="KI26" i="7"/>
  <c r="KI27" i="7"/>
  <c r="KI29" i="7"/>
  <c r="KJ16" i="7"/>
  <c r="KJ26" i="7"/>
  <c r="KJ27" i="7"/>
  <c r="KJ29" i="7"/>
  <c r="KK16" i="7"/>
  <c r="KK26" i="7"/>
  <c r="KK27" i="7"/>
  <c r="KK29" i="7"/>
  <c r="KL16" i="7"/>
  <c r="KL26" i="7"/>
  <c r="KL27" i="7"/>
  <c r="KL29" i="7"/>
  <c r="KM16" i="7"/>
  <c r="KM26" i="7"/>
  <c r="KM27" i="7"/>
  <c r="KM29" i="7"/>
  <c r="KN16" i="7"/>
  <c r="KN26" i="7"/>
  <c r="KN27" i="7"/>
  <c r="KN29" i="7"/>
  <c r="KO16" i="7"/>
  <c r="KO26" i="7"/>
  <c r="KO27" i="7"/>
  <c r="KO29" i="7"/>
  <c r="C30" i="7"/>
  <c r="D30" i="7"/>
  <c r="E30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T30" i="7"/>
  <c r="U30" i="7"/>
  <c r="V30" i="7"/>
  <c r="W30" i="7"/>
  <c r="X30" i="7"/>
  <c r="Y30" i="7"/>
  <c r="Z30" i="7"/>
  <c r="AA30" i="7"/>
  <c r="AB30" i="7"/>
  <c r="AC30" i="7"/>
  <c r="AD30" i="7"/>
  <c r="AE30" i="7"/>
  <c r="AF30" i="7"/>
  <c r="AG30" i="7"/>
  <c r="AH30" i="7"/>
  <c r="AI30" i="7"/>
  <c r="AJ30" i="7"/>
  <c r="AK30" i="7"/>
  <c r="AL30" i="7"/>
  <c r="AM30" i="7"/>
  <c r="AN30" i="7"/>
  <c r="AO30" i="7"/>
  <c r="AP30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BZ30" i="7"/>
  <c r="CA30" i="7"/>
  <c r="CB30" i="7"/>
  <c r="CC30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M30" i="7"/>
  <c r="DN30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FA30" i="7"/>
  <c r="FB30" i="7"/>
  <c r="FC30" i="7"/>
  <c r="FD30" i="7"/>
  <c r="FE30" i="7"/>
  <c r="FF30" i="7"/>
  <c r="FG30" i="7"/>
  <c r="FH30" i="7"/>
  <c r="FI30" i="7"/>
  <c r="FJ30" i="7"/>
  <c r="FK30" i="7"/>
  <c r="FL30" i="7"/>
  <c r="FM30" i="7"/>
  <c r="FN30" i="7"/>
  <c r="FO30" i="7"/>
  <c r="FP30" i="7"/>
  <c r="FQ30" i="7"/>
  <c r="FR30" i="7"/>
  <c r="FS30" i="7"/>
  <c r="FT30" i="7"/>
  <c r="FU30" i="7"/>
  <c r="FV30" i="7"/>
  <c r="FW30" i="7"/>
  <c r="FX30" i="7"/>
  <c r="FY30" i="7"/>
  <c r="FZ30" i="7"/>
  <c r="GA30" i="7"/>
  <c r="GB30" i="7"/>
  <c r="GC30" i="7"/>
  <c r="GD30" i="7"/>
  <c r="GE30" i="7"/>
  <c r="GF30" i="7"/>
  <c r="GG30" i="7"/>
  <c r="GH30" i="7"/>
  <c r="GI30" i="7"/>
  <c r="GJ30" i="7"/>
  <c r="GK30" i="7"/>
  <c r="GL30" i="7"/>
  <c r="GM30" i="7"/>
  <c r="GN30" i="7"/>
  <c r="GO30" i="7"/>
  <c r="GP30" i="7"/>
  <c r="GQ30" i="7"/>
  <c r="GR30" i="7"/>
  <c r="GS30" i="7"/>
  <c r="GT30" i="7"/>
  <c r="GU30" i="7"/>
  <c r="GV30" i="7"/>
  <c r="GW30" i="7"/>
  <c r="GX30" i="7"/>
  <c r="GY30" i="7"/>
  <c r="GZ30" i="7"/>
  <c r="HA30" i="7"/>
  <c r="HB30" i="7"/>
  <c r="HC30" i="7"/>
  <c r="HD30" i="7"/>
  <c r="HE30" i="7"/>
  <c r="HF30" i="7"/>
  <c r="HG30" i="7"/>
  <c r="HH30" i="7"/>
  <c r="HI30" i="7"/>
  <c r="HJ30" i="7"/>
  <c r="HK30" i="7"/>
  <c r="HL30" i="7"/>
  <c r="HM30" i="7"/>
  <c r="HN30" i="7"/>
  <c r="HO30" i="7"/>
  <c r="HP30" i="7"/>
  <c r="HQ30" i="7"/>
  <c r="HR30" i="7"/>
  <c r="HS30" i="7"/>
  <c r="HT30" i="7"/>
  <c r="HU30" i="7"/>
  <c r="HV30" i="7"/>
  <c r="HW30" i="7"/>
  <c r="HX30" i="7"/>
  <c r="HY30" i="7"/>
  <c r="HZ30" i="7"/>
  <c r="IA30" i="7"/>
  <c r="IB30" i="7"/>
  <c r="IC30" i="7"/>
  <c r="ID30" i="7"/>
  <c r="IE30" i="7"/>
  <c r="IF30" i="7"/>
  <c r="IG30" i="7"/>
  <c r="IH30" i="7"/>
  <c r="II30" i="7"/>
  <c r="IJ30" i="7"/>
  <c r="IK30" i="7"/>
  <c r="IL30" i="7"/>
  <c r="IM30" i="7"/>
  <c r="IN30" i="7"/>
  <c r="IO30" i="7"/>
  <c r="IP30" i="7"/>
  <c r="IQ30" i="7"/>
  <c r="IR30" i="7"/>
  <c r="IS30" i="7"/>
  <c r="IT30" i="7"/>
  <c r="IU30" i="7"/>
  <c r="IV30" i="7"/>
  <c r="IW30" i="7"/>
  <c r="IX30" i="7"/>
  <c r="IY30" i="7"/>
  <c r="IZ30" i="7"/>
  <c r="JA30" i="7"/>
  <c r="JB30" i="7"/>
  <c r="JC30" i="7"/>
  <c r="JD30" i="7"/>
  <c r="JE30" i="7"/>
  <c r="JF30" i="7"/>
  <c r="JG30" i="7"/>
  <c r="JH30" i="7"/>
  <c r="JI30" i="7"/>
  <c r="JJ30" i="7"/>
  <c r="JK30" i="7"/>
  <c r="JL30" i="7"/>
  <c r="JM30" i="7"/>
  <c r="JN30" i="7"/>
  <c r="JO30" i="7"/>
  <c r="JP30" i="7"/>
  <c r="JQ30" i="7"/>
  <c r="JR30" i="7"/>
  <c r="JS30" i="7"/>
  <c r="JT30" i="7"/>
  <c r="JU30" i="7"/>
  <c r="JV30" i="7"/>
  <c r="JW30" i="7"/>
  <c r="JX30" i="7"/>
  <c r="JY30" i="7"/>
  <c r="JZ30" i="7"/>
  <c r="KA30" i="7"/>
  <c r="KB30" i="7"/>
  <c r="KC30" i="7"/>
  <c r="KD30" i="7"/>
  <c r="KE30" i="7"/>
  <c r="KF30" i="7"/>
  <c r="KG30" i="7"/>
  <c r="KH30" i="7"/>
  <c r="KI30" i="7"/>
  <c r="KJ30" i="7"/>
  <c r="KK30" i="7"/>
  <c r="KL30" i="7"/>
  <c r="KM30" i="7"/>
  <c r="KN30" i="7"/>
  <c r="KO30" i="7"/>
  <c r="C31" i="7"/>
  <c r="D31" i="7"/>
  <c r="E31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T31" i="7"/>
  <c r="U31" i="7"/>
  <c r="V31" i="7"/>
  <c r="W31" i="7"/>
  <c r="X31" i="7"/>
  <c r="Y31" i="7"/>
  <c r="Z31" i="7"/>
  <c r="AA31" i="7"/>
  <c r="AB31" i="7"/>
  <c r="AC31" i="7"/>
  <c r="AD31" i="7"/>
  <c r="AE31" i="7"/>
  <c r="AF31" i="7"/>
  <c r="AG31" i="7"/>
  <c r="AH31" i="7"/>
  <c r="AI31" i="7"/>
  <c r="AJ31" i="7"/>
  <c r="AK31" i="7"/>
  <c r="AL31" i="7"/>
  <c r="AM31" i="7"/>
  <c r="AN31" i="7"/>
  <c r="AO31" i="7"/>
  <c r="AP31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BZ31" i="7"/>
  <c r="CA31" i="7"/>
  <c r="CB31" i="7"/>
  <c r="CC31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M31" i="7"/>
  <c r="DN31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FA31" i="7"/>
  <c r="FB31" i="7"/>
  <c r="FC31" i="7"/>
  <c r="FD31" i="7"/>
  <c r="FE31" i="7"/>
  <c r="FF31" i="7"/>
  <c r="FG31" i="7"/>
  <c r="FH31" i="7"/>
  <c r="FI31" i="7"/>
  <c r="FJ31" i="7"/>
  <c r="FK31" i="7"/>
  <c r="FL31" i="7"/>
  <c r="FM31" i="7"/>
  <c r="FN31" i="7"/>
  <c r="FO31" i="7"/>
  <c r="FP31" i="7"/>
  <c r="FQ31" i="7"/>
  <c r="FR31" i="7"/>
  <c r="FS31" i="7"/>
  <c r="FT31" i="7"/>
  <c r="FU31" i="7"/>
  <c r="FV31" i="7"/>
  <c r="FW31" i="7"/>
  <c r="FX31" i="7"/>
  <c r="FY31" i="7"/>
  <c r="FZ31" i="7"/>
  <c r="GA31" i="7"/>
  <c r="GB31" i="7"/>
  <c r="GC31" i="7"/>
  <c r="GD31" i="7"/>
  <c r="GE31" i="7"/>
  <c r="GF31" i="7"/>
  <c r="GG31" i="7"/>
  <c r="GH31" i="7"/>
  <c r="GI31" i="7"/>
  <c r="GJ31" i="7"/>
  <c r="GK31" i="7"/>
  <c r="GL31" i="7"/>
  <c r="GM31" i="7"/>
  <c r="GN31" i="7"/>
  <c r="GO31" i="7"/>
  <c r="GP31" i="7"/>
  <c r="GQ31" i="7"/>
  <c r="GR31" i="7"/>
  <c r="GS31" i="7"/>
  <c r="GT31" i="7"/>
  <c r="GU31" i="7"/>
  <c r="GV31" i="7"/>
  <c r="GW31" i="7"/>
  <c r="GX31" i="7"/>
  <c r="GY31" i="7"/>
  <c r="GZ31" i="7"/>
  <c r="HA31" i="7"/>
  <c r="HB31" i="7"/>
  <c r="HC31" i="7"/>
  <c r="HD31" i="7"/>
  <c r="HE31" i="7"/>
  <c r="HF31" i="7"/>
  <c r="HG31" i="7"/>
  <c r="HH31" i="7"/>
  <c r="HI31" i="7"/>
  <c r="HJ31" i="7"/>
  <c r="HK31" i="7"/>
  <c r="HL31" i="7"/>
  <c r="HM31" i="7"/>
  <c r="HN31" i="7"/>
  <c r="HO31" i="7"/>
  <c r="HP31" i="7"/>
  <c r="HQ31" i="7"/>
  <c r="HR31" i="7"/>
  <c r="HS31" i="7"/>
  <c r="HT31" i="7"/>
  <c r="HU31" i="7"/>
  <c r="HV31" i="7"/>
  <c r="HW31" i="7"/>
  <c r="HX31" i="7"/>
  <c r="HY31" i="7"/>
  <c r="HZ31" i="7"/>
  <c r="IA31" i="7"/>
  <c r="IB31" i="7"/>
  <c r="IC31" i="7"/>
  <c r="ID31" i="7"/>
  <c r="IE31" i="7"/>
  <c r="IF31" i="7"/>
  <c r="IG31" i="7"/>
  <c r="IH31" i="7"/>
  <c r="II31" i="7"/>
  <c r="IJ31" i="7"/>
  <c r="IK31" i="7"/>
  <c r="IL31" i="7"/>
  <c r="IM31" i="7"/>
  <c r="IN31" i="7"/>
  <c r="IO31" i="7"/>
  <c r="IP31" i="7"/>
  <c r="IQ31" i="7"/>
  <c r="IR31" i="7"/>
  <c r="IS31" i="7"/>
  <c r="IT31" i="7"/>
  <c r="IU31" i="7"/>
  <c r="IV31" i="7"/>
  <c r="IW31" i="7"/>
  <c r="IX31" i="7"/>
  <c r="IY31" i="7"/>
  <c r="IZ31" i="7"/>
  <c r="JA31" i="7"/>
  <c r="JB31" i="7"/>
  <c r="JC31" i="7"/>
  <c r="JD31" i="7"/>
  <c r="JE31" i="7"/>
  <c r="JF31" i="7"/>
  <c r="JG31" i="7"/>
  <c r="JH31" i="7"/>
  <c r="JI31" i="7"/>
  <c r="JJ31" i="7"/>
  <c r="JK31" i="7"/>
  <c r="JL31" i="7"/>
  <c r="JM31" i="7"/>
  <c r="JN31" i="7"/>
  <c r="JO31" i="7"/>
  <c r="JP31" i="7"/>
  <c r="JQ31" i="7"/>
  <c r="JR31" i="7"/>
  <c r="JS31" i="7"/>
  <c r="JT31" i="7"/>
  <c r="JU31" i="7"/>
  <c r="JV31" i="7"/>
  <c r="JW31" i="7"/>
  <c r="JX31" i="7"/>
  <c r="JY31" i="7"/>
  <c r="JZ31" i="7"/>
  <c r="KA31" i="7"/>
  <c r="KB31" i="7"/>
  <c r="KC31" i="7"/>
  <c r="KD31" i="7"/>
  <c r="KE31" i="7"/>
  <c r="KF31" i="7"/>
  <c r="KG31" i="7"/>
  <c r="KH31" i="7"/>
  <c r="KI31" i="7"/>
  <c r="KJ31" i="7"/>
  <c r="KK31" i="7"/>
  <c r="KL31" i="7"/>
  <c r="KM31" i="7"/>
  <c r="KN31" i="7"/>
  <c r="KO31" i="7"/>
  <c r="C32" i="7"/>
  <c r="D32" i="7"/>
  <c r="E32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T32" i="7"/>
  <c r="U32" i="7"/>
  <c r="V32" i="7"/>
  <c r="W32" i="7"/>
  <c r="X32" i="7"/>
  <c r="Y32" i="7"/>
  <c r="Z32" i="7"/>
  <c r="AA32" i="7"/>
  <c r="AB32" i="7"/>
  <c r="AC32" i="7"/>
  <c r="AD32" i="7"/>
  <c r="AE32" i="7"/>
  <c r="AF32" i="7"/>
  <c r="AG32" i="7"/>
  <c r="AH32" i="7"/>
  <c r="AI32" i="7"/>
  <c r="AJ32" i="7"/>
  <c r="AK32" i="7"/>
  <c r="AL32" i="7"/>
  <c r="AM32" i="7"/>
  <c r="AN32" i="7"/>
  <c r="AO32" i="7"/>
  <c r="AP32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BZ32" i="7"/>
  <c r="CA32" i="7"/>
  <c r="CB32" i="7"/>
  <c r="CC32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M32" i="7"/>
  <c r="DN32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FA32" i="7"/>
  <c r="FB32" i="7"/>
  <c r="FC32" i="7"/>
  <c r="FD32" i="7"/>
  <c r="FE32" i="7"/>
  <c r="FF32" i="7"/>
  <c r="FG32" i="7"/>
  <c r="FH32" i="7"/>
  <c r="FI32" i="7"/>
  <c r="FJ32" i="7"/>
  <c r="FK32" i="7"/>
  <c r="FL32" i="7"/>
  <c r="FM32" i="7"/>
  <c r="FN32" i="7"/>
  <c r="FO32" i="7"/>
  <c r="FP32" i="7"/>
  <c r="FQ32" i="7"/>
  <c r="FR32" i="7"/>
  <c r="FS32" i="7"/>
  <c r="FT32" i="7"/>
  <c r="FU32" i="7"/>
  <c r="FV32" i="7"/>
  <c r="FW32" i="7"/>
  <c r="FX32" i="7"/>
  <c r="FY32" i="7"/>
  <c r="FZ32" i="7"/>
  <c r="GA32" i="7"/>
  <c r="GB32" i="7"/>
  <c r="GC32" i="7"/>
  <c r="GD32" i="7"/>
  <c r="GE32" i="7"/>
  <c r="GF32" i="7"/>
  <c r="GG32" i="7"/>
  <c r="GH32" i="7"/>
  <c r="GI32" i="7"/>
  <c r="GJ32" i="7"/>
  <c r="GK32" i="7"/>
  <c r="GL32" i="7"/>
  <c r="GM32" i="7"/>
  <c r="GN32" i="7"/>
  <c r="GO32" i="7"/>
  <c r="GP32" i="7"/>
  <c r="GQ32" i="7"/>
  <c r="GR32" i="7"/>
  <c r="GS32" i="7"/>
  <c r="GT32" i="7"/>
  <c r="GU32" i="7"/>
  <c r="GV32" i="7"/>
  <c r="GW32" i="7"/>
  <c r="GX32" i="7"/>
  <c r="GY32" i="7"/>
  <c r="GZ32" i="7"/>
  <c r="HA32" i="7"/>
  <c r="HB32" i="7"/>
  <c r="HC32" i="7"/>
  <c r="HD32" i="7"/>
  <c r="HE32" i="7"/>
  <c r="HF32" i="7"/>
  <c r="HG32" i="7"/>
  <c r="HH32" i="7"/>
  <c r="HI32" i="7"/>
  <c r="HJ32" i="7"/>
  <c r="HK32" i="7"/>
  <c r="HL32" i="7"/>
  <c r="HM32" i="7"/>
  <c r="HN32" i="7"/>
  <c r="HO32" i="7"/>
  <c r="HP32" i="7"/>
  <c r="HQ32" i="7"/>
  <c r="HR32" i="7"/>
  <c r="HS32" i="7"/>
  <c r="HT32" i="7"/>
  <c r="HU32" i="7"/>
  <c r="HV32" i="7"/>
  <c r="HW32" i="7"/>
  <c r="HX32" i="7"/>
  <c r="HY32" i="7"/>
  <c r="HZ32" i="7"/>
  <c r="IA32" i="7"/>
  <c r="IB32" i="7"/>
  <c r="IC32" i="7"/>
  <c r="ID32" i="7"/>
  <c r="IE32" i="7"/>
  <c r="IF32" i="7"/>
  <c r="IG32" i="7"/>
  <c r="IH32" i="7"/>
  <c r="II32" i="7"/>
  <c r="IJ32" i="7"/>
  <c r="IK32" i="7"/>
  <c r="IL32" i="7"/>
  <c r="IM32" i="7"/>
  <c r="IN32" i="7"/>
  <c r="IO32" i="7"/>
  <c r="IP32" i="7"/>
  <c r="IQ32" i="7"/>
  <c r="IR32" i="7"/>
  <c r="IS32" i="7"/>
  <c r="IT32" i="7"/>
  <c r="IU32" i="7"/>
  <c r="IV32" i="7"/>
  <c r="IW32" i="7"/>
  <c r="IX32" i="7"/>
  <c r="IY32" i="7"/>
  <c r="IZ32" i="7"/>
  <c r="JA32" i="7"/>
  <c r="JB32" i="7"/>
  <c r="JC32" i="7"/>
  <c r="JD32" i="7"/>
  <c r="JE32" i="7"/>
  <c r="JF32" i="7"/>
  <c r="JG32" i="7"/>
  <c r="JH32" i="7"/>
  <c r="JI32" i="7"/>
  <c r="JJ32" i="7"/>
  <c r="JK32" i="7"/>
  <c r="JL32" i="7"/>
  <c r="JM32" i="7"/>
  <c r="JN32" i="7"/>
  <c r="JO32" i="7"/>
  <c r="JP32" i="7"/>
  <c r="JQ32" i="7"/>
  <c r="JR32" i="7"/>
  <c r="JS32" i="7"/>
  <c r="JT32" i="7"/>
  <c r="JU32" i="7"/>
  <c r="JV32" i="7"/>
  <c r="JW32" i="7"/>
  <c r="JX32" i="7"/>
  <c r="JY32" i="7"/>
  <c r="JZ32" i="7"/>
  <c r="KA32" i="7"/>
  <c r="KB32" i="7"/>
  <c r="KC32" i="7"/>
  <c r="KD32" i="7"/>
  <c r="KE32" i="7"/>
  <c r="KF32" i="7"/>
  <c r="KG32" i="7"/>
  <c r="KH32" i="7"/>
  <c r="KI32" i="7"/>
  <c r="KJ32" i="7"/>
  <c r="KK32" i="7"/>
  <c r="KL32" i="7"/>
  <c r="KM32" i="7"/>
  <c r="KN32" i="7"/>
  <c r="KO32" i="7"/>
  <c r="C33" i="7"/>
  <c r="D33" i="7"/>
  <c r="E33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AC33" i="7"/>
  <c r="AD33" i="7"/>
  <c r="AE33" i="7"/>
  <c r="AF33" i="7"/>
  <c r="AG33" i="7"/>
  <c r="AH33" i="7"/>
  <c r="AI33" i="7"/>
  <c r="AJ33" i="7"/>
  <c r="AK33" i="7"/>
  <c r="AL33" i="7"/>
  <c r="AM33" i="7"/>
  <c r="AN33" i="7"/>
  <c r="AO33" i="7"/>
  <c r="AP33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CB33" i="7"/>
  <c r="CC33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M33" i="7"/>
  <c r="DN33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FA33" i="7"/>
  <c r="FB33" i="7"/>
  <c r="FC33" i="7"/>
  <c r="FD33" i="7"/>
  <c r="FE33" i="7"/>
  <c r="FF33" i="7"/>
  <c r="FG33" i="7"/>
  <c r="FH33" i="7"/>
  <c r="FI33" i="7"/>
  <c r="FJ33" i="7"/>
  <c r="FK33" i="7"/>
  <c r="FL33" i="7"/>
  <c r="FM33" i="7"/>
  <c r="FN33" i="7"/>
  <c r="FO33" i="7"/>
  <c r="FP33" i="7"/>
  <c r="FQ33" i="7"/>
  <c r="FR33" i="7"/>
  <c r="FS33" i="7"/>
  <c r="FT33" i="7"/>
  <c r="FU33" i="7"/>
  <c r="FV33" i="7"/>
  <c r="FW33" i="7"/>
  <c r="FX33" i="7"/>
  <c r="FY33" i="7"/>
  <c r="FZ33" i="7"/>
  <c r="GA33" i="7"/>
  <c r="GB33" i="7"/>
  <c r="GC33" i="7"/>
  <c r="GD33" i="7"/>
  <c r="GE33" i="7"/>
  <c r="GF33" i="7"/>
  <c r="GG33" i="7"/>
  <c r="GH33" i="7"/>
  <c r="GI33" i="7"/>
  <c r="GJ33" i="7"/>
  <c r="GK33" i="7"/>
  <c r="GL33" i="7"/>
  <c r="GM33" i="7"/>
  <c r="GN33" i="7"/>
  <c r="GO33" i="7"/>
  <c r="GP33" i="7"/>
  <c r="GQ33" i="7"/>
  <c r="GR33" i="7"/>
  <c r="GS33" i="7"/>
  <c r="GT33" i="7"/>
  <c r="GU33" i="7"/>
  <c r="GV33" i="7"/>
  <c r="GW33" i="7"/>
  <c r="GX33" i="7"/>
  <c r="GY33" i="7"/>
  <c r="GZ33" i="7"/>
  <c r="HA33" i="7"/>
  <c r="HB33" i="7"/>
  <c r="HC33" i="7"/>
  <c r="HD33" i="7"/>
  <c r="HE33" i="7"/>
  <c r="HF33" i="7"/>
  <c r="HG33" i="7"/>
  <c r="HH33" i="7"/>
  <c r="HI33" i="7"/>
  <c r="HJ33" i="7"/>
  <c r="HK33" i="7"/>
  <c r="HL33" i="7"/>
  <c r="HM33" i="7"/>
  <c r="HN33" i="7"/>
  <c r="HO33" i="7"/>
  <c r="HP33" i="7"/>
  <c r="HQ33" i="7"/>
  <c r="HR33" i="7"/>
  <c r="HS33" i="7"/>
  <c r="HT33" i="7"/>
  <c r="HU33" i="7"/>
  <c r="HV33" i="7"/>
  <c r="HW33" i="7"/>
  <c r="HX33" i="7"/>
  <c r="HY33" i="7"/>
  <c r="HZ33" i="7"/>
  <c r="IA33" i="7"/>
  <c r="IB33" i="7"/>
  <c r="IC33" i="7"/>
  <c r="ID33" i="7"/>
  <c r="IE33" i="7"/>
  <c r="IF33" i="7"/>
  <c r="IG33" i="7"/>
  <c r="IH33" i="7"/>
  <c r="II33" i="7"/>
  <c r="IJ33" i="7"/>
  <c r="IK33" i="7"/>
  <c r="IL33" i="7"/>
  <c r="IM33" i="7"/>
  <c r="IN33" i="7"/>
  <c r="IO33" i="7"/>
  <c r="IP33" i="7"/>
  <c r="IQ33" i="7"/>
  <c r="IR33" i="7"/>
  <c r="IS33" i="7"/>
  <c r="IT33" i="7"/>
  <c r="IU33" i="7"/>
  <c r="IV33" i="7"/>
  <c r="IW33" i="7"/>
  <c r="IX33" i="7"/>
  <c r="IY33" i="7"/>
  <c r="IZ33" i="7"/>
  <c r="JA33" i="7"/>
  <c r="JB33" i="7"/>
  <c r="JC33" i="7"/>
  <c r="JD33" i="7"/>
  <c r="JE33" i="7"/>
  <c r="JF33" i="7"/>
  <c r="JG33" i="7"/>
  <c r="JH33" i="7"/>
  <c r="JI33" i="7"/>
  <c r="JJ33" i="7"/>
  <c r="JK33" i="7"/>
  <c r="JL33" i="7"/>
  <c r="JM33" i="7"/>
  <c r="JN33" i="7"/>
  <c r="JO33" i="7"/>
  <c r="JP33" i="7"/>
  <c r="JQ33" i="7"/>
  <c r="JR33" i="7"/>
  <c r="JS33" i="7"/>
  <c r="JT33" i="7"/>
  <c r="JU33" i="7"/>
  <c r="JV33" i="7"/>
  <c r="JW33" i="7"/>
  <c r="JX33" i="7"/>
  <c r="JY33" i="7"/>
  <c r="JZ33" i="7"/>
  <c r="KA33" i="7"/>
  <c r="KB33" i="7"/>
  <c r="KC33" i="7"/>
  <c r="KD33" i="7"/>
  <c r="KE33" i="7"/>
  <c r="KF33" i="7"/>
  <c r="KG33" i="7"/>
  <c r="KH33" i="7"/>
  <c r="KI33" i="7"/>
  <c r="KJ33" i="7"/>
  <c r="KK33" i="7"/>
  <c r="KL33" i="7"/>
  <c r="KM33" i="7"/>
  <c r="KN33" i="7"/>
  <c r="KO33" i="7"/>
  <c r="C34" i="7"/>
  <c r="D34" i="7"/>
  <c r="E34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T34" i="7"/>
  <c r="U34" i="7"/>
  <c r="V34" i="7"/>
  <c r="W34" i="7"/>
  <c r="X34" i="7"/>
  <c r="Y34" i="7"/>
  <c r="Z34" i="7"/>
  <c r="AA34" i="7"/>
  <c r="AB34" i="7"/>
  <c r="AC34" i="7"/>
  <c r="AD34" i="7"/>
  <c r="AE34" i="7"/>
  <c r="AF34" i="7"/>
  <c r="AG34" i="7"/>
  <c r="AH34" i="7"/>
  <c r="AI34" i="7"/>
  <c r="AJ34" i="7"/>
  <c r="AK34" i="7"/>
  <c r="AL34" i="7"/>
  <c r="AM34" i="7"/>
  <c r="AN34" i="7"/>
  <c r="AO34" i="7"/>
  <c r="AP34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BZ34" i="7"/>
  <c r="CA34" i="7"/>
  <c r="CB34" i="7"/>
  <c r="CC34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M34" i="7"/>
  <c r="DN34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FA34" i="7"/>
  <c r="FB34" i="7"/>
  <c r="FC34" i="7"/>
  <c r="FD34" i="7"/>
  <c r="FE34" i="7"/>
  <c r="FF34" i="7"/>
  <c r="FG34" i="7"/>
  <c r="FH34" i="7"/>
  <c r="FI34" i="7"/>
  <c r="FJ34" i="7"/>
  <c r="FK34" i="7"/>
  <c r="FL34" i="7"/>
  <c r="FM34" i="7"/>
  <c r="FN34" i="7"/>
  <c r="FO34" i="7"/>
  <c r="FP34" i="7"/>
  <c r="FQ34" i="7"/>
  <c r="FR34" i="7"/>
  <c r="FS34" i="7"/>
  <c r="FT34" i="7"/>
  <c r="FU34" i="7"/>
  <c r="FV34" i="7"/>
  <c r="FW34" i="7"/>
  <c r="FX34" i="7"/>
  <c r="FY34" i="7"/>
  <c r="FZ34" i="7"/>
  <c r="GA34" i="7"/>
  <c r="GB34" i="7"/>
  <c r="GC34" i="7"/>
  <c r="GD34" i="7"/>
  <c r="GE34" i="7"/>
  <c r="GF34" i="7"/>
  <c r="GG34" i="7"/>
  <c r="GH34" i="7"/>
  <c r="GI34" i="7"/>
  <c r="GJ34" i="7"/>
  <c r="GK34" i="7"/>
  <c r="GL34" i="7"/>
  <c r="GM34" i="7"/>
  <c r="GN34" i="7"/>
  <c r="GO34" i="7"/>
  <c r="GP34" i="7"/>
  <c r="GQ34" i="7"/>
  <c r="GR34" i="7"/>
  <c r="GS34" i="7"/>
  <c r="GT34" i="7"/>
  <c r="GU34" i="7"/>
  <c r="GV34" i="7"/>
  <c r="GW34" i="7"/>
  <c r="GX34" i="7"/>
  <c r="GY34" i="7"/>
  <c r="GZ34" i="7"/>
  <c r="HA34" i="7"/>
  <c r="HB34" i="7"/>
  <c r="HC34" i="7"/>
  <c r="HD34" i="7"/>
  <c r="HE34" i="7"/>
  <c r="HF34" i="7"/>
  <c r="HG34" i="7"/>
  <c r="HH34" i="7"/>
  <c r="HI34" i="7"/>
  <c r="HJ34" i="7"/>
  <c r="HK34" i="7"/>
  <c r="HL34" i="7"/>
  <c r="HM34" i="7"/>
  <c r="HN34" i="7"/>
  <c r="HO34" i="7"/>
  <c r="HP34" i="7"/>
  <c r="HQ34" i="7"/>
  <c r="HR34" i="7"/>
  <c r="HS34" i="7"/>
  <c r="HT34" i="7"/>
  <c r="HU34" i="7"/>
  <c r="HV34" i="7"/>
  <c r="HW34" i="7"/>
  <c r="HX34" i="7"/>
  <c r="HY34" i="7"/>
  <c r="HZ34" i="7"/>
  <c r="IA34" i="7"/>
  <c r="IB34" i="7"/>
  <c r="IC34" i="7"/>
  <c r="ID34" i="7"/>
  <c r="IE34" i="7"/>
  <c r="IF34" i="7"/>
  <c r="IG34" i="7"/>
  <c r="IH34" i="7"/>
  <c r="II34" i="7"/>
  <c r="IJ34" i="7"/>
  <c r="IK34" i="7"/>
  <c r="IL34" i="7"/>
  <c r="IM34" i="7"/>
  <c r="IN34" i="7"/>
  <c r="IO34" i="7"/>
  <c r="IP34" i="7"/>
  <c r="IQ34" i="7"/>
  <c r="IR34" i="7"/>
  <c r="IS34" i="7"/>
  <c r="IT34" i="7"/>
  <c r="IU34" i="7"/>
  <c r="IV34" i="7"/>
  <c r="IW34" i="7"/>
  <c r="IX34" i="7"/>
  <c r="IY34" i="7"/>
  <c r="IZ34" i="7"/>
  <c r="JA34" i="7"/>
  <c r="JB34" i="7"/>
  <c r="JC34" i="7"/>
  <c r="JD34" i="7"/>
  <c r="JE34" i="7"/>
  <c r="JF34" i="7"/>
  <c r="JG34" i="7"/>
  <c r="JH34" i="7"/>
  <c r="JI34" i="7"/>
  <c r="JJ34" i="7"/>
  <c r="JK34" i="7"/>
  <c r="JL34" i="7"/>
  <c r="JM34" i="7"/>
  <c r="JN34" i="7"/>
  <c r="JO34" i="7"/>
  <c r="JP34" i="7"/>
  <c r="JQ34" i="7"/>
  <c r="JR34" i="7"/>
  <c r="JS34" i="7"/>
  <c r="JT34" i="7"/>
  <c r="JU34" i="7"/>
  <c r="JV34" i="7"/>
  <c r="JW34" i="7"/>
  <c r="JX34" i="7"/>
  <c r="JY34" i="7"/>
  <c r="JZ34" i="7"/>
  <c r="KA34" i="7"/>
  <c r="KB34" i="7"/>
  <c r="KC34" i="7"/>
  <c r="KD34" i="7"/>
  <c r="KE34" i="7"/>
  <c r="KF34" i="7"/>
  <c r="KG34" i="7"/>
  <c r="KH34" i="7"/>
  <c r="KI34" i="7"/>
  <c r="KJ34" i="7"/>
  <c r="KK34" i="7"/>
  <c r="KL34" i="7"/>
  <c r="KM34" i="7"/>
  <c r="KN34" i="7"/>
  <c r="KO34" i="7"/>
  <c r="C35" i="7"/>
  <c r="D35" i="7"/>
  <c r="E35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T35" i="7"/>
  <c r="U35" i="7"/>
  <c r="V35" i="7"/>
  <c r="W35" i="7"/>
  <c r="X35" i="7"/>
  <c r="Y35" i="7"/>
  <c r="Z35" i="7"/>
  <c r="AA35" i="7"/>
  <c r="AB35" i="7"/>
  <c r="AC35" i="7"/>
  <c r="AD35" i="7"/>
  <c r="AE35" i="7"/>
  <c r="AF35" i="7"/>
  <c r="AG35" i="7"/>
  <c r="AH35" i="7"/>
  <c r="AI35" i="7"/>
  <c r="AJ35" i="7"/>
  <c r="AK35" i="7"/>
  <c r="AL35" i="7"/>
  <c r="AM35" i="7"/>
  <c r="AN35" i="7"/>
  <c r="AO35" i="7"/>
  <c r="AP35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BZ35" i="7"/>
  <c r="CA35" i="7"/>
  <c r="CB35" i="7"/>
  <c r="CC35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M35" i="7"/>
  <c r="DN35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FA35" i="7"/>
  <c r="FB35" i="7"/>
  <c r="FC35" i="7"/>
  <c r="FD35" i="7"/>
  <c r="FE35" i="7"/>
  <c r="FF35" i="7"/>
  <c r="FG35" i="7"/>
  <c r="FH35" i="7"/>
  <c r="FI35" i="7"/>
  <c r="FJ35" i="7"/>
  <c r="FK35" i="7"/>
  <c r="FL35" i="7"/>
  <c r="FM35" i="7"/>
  <c r="FN35" i="7"/>
  <c r="FO35" i="7"/>
  <c r="FP35" i="7"/>
  <c r="FQ35" i="7"/>
  <c r="FR35" i="7"/>
  <c r="FS35" i="7"/>
  <c r="FT35" i="7"/>
  <c r="FU35" i="7"/>
  <c r="FV35" i="7"/>
  <c r="FW35" i="7"/>
  <c r="FX35" i="7"/>
  <c r="FY35" i="7"/>
  <c r="FZ35" i="7"/>
  <c r="GA35" i="7"/>
  <c r="GB35" i="7"/>
  <c r="GC35" i="7"/>
  <c r="GD35" i="7"/>
  <c r="GE35" i="7"/>
  <c r="GF35" i="7"/>
  <c r="GG35" i="7"/>
  <c r="GH35" i="7"/>
  <c r="GI35" i="7"/>
  <c r="GJ35" i="7"/>
  <c r="GK35" i="7"/>
  <c r="GL35" i="7"/>
  <c r="GM35" i="7"/>
  <c r="GN35" i="7"/>
  <c r="GO35" i="7"/>
  <c r="GP35" i="7"/>
  <c r="GQ35" i="7"/>
  <c r="GR35" i="7"/>
  <c r="GS35" i="7"/>
  <c r="GT35" i="7"/>
  <c r="GU35" i="7"/>
  <c r="GV35" i="7"/>
  <c r="GW35" i="7"/>
  <c r="GX35" i="7"/>
  <c r="GY35" i="7"/>
  <c r="GZ35" i="7"/>
  <c r="HA35" i="7"/>
  <c r="HB35" i="7"/>
  <c r="HC35" i="7"/>
  <c r="HD35" i="7"/>
  <c r="HE35" i="7"/>
  <c r="HF35" i="7"/>
  <c r="HG35" i="7"/>
  <c r="HH35" i="7"/>
  <c r="HI35" i="7"/>
  <c r="HJ35" i="7"/>
  <c r="HK35" i="7"/>
  <c r="HL35" i="7"/>
  <c r="HM35" i="7"/>
  <c r="HN35" i="7"/>
  <c r="HO35" i="7"/>
  <c r="HP35" i="7"/>
  <c r="HQ35" i="7"/>
  <c r="HR35" i="7"/>
  <c r="HS35" i="7"/>
  <c r="HT35" i="7"/>
  <c r="HU35" i="7"/>
  <c r="HV35" i="7"/>
  <c r="HW35" i="7"/>
  <c r="HX35" i="7"/>
  <c r="HY35" i="7"/>
  <c r="HZ35" i="7"/>
  <c r="IA35" i="7"/>
  <c r="IB35" i="7"/>
  <c r="IC35" i="7"/>
  <c r="ID35" i="7"/>
  <c r="IE35" i="7"/>
  <c r="IF35" i="7"/>
  <c r="IG35" i="7"/>
  <c r="IH35" i="7"/>
  <c r="II35" i="7"/>
  <c r="IJ35" i="7"/>
  <c r="IK35" i="7"/>
  <c r="IL35" i="7"/>
  <c r="IM35" i="7"/>
  <c r="IN35" i="7"/>
  <c r="IO35" i="7"/>
  <c r="IP35" i="7"/>
  <c r="IQ35" i="7"/>
  <c r="IR35" i="7"/>
  <c r="IS35" i="7"/>
  <c r="IT35" i="7"/>
  <c r="IU35" i="7"/>
  <c r="IV35" i="7"/>
  <c r="IW35" i="7"/>
  <c r="IX35" i="7"/>
  <c r="IY35" i="7"/>
  <c r="IZ35" i="7"/>
  <c r="JA35" i="7"/>
  <c r="JB35" i="7"/>
  <c r="JC35" i="7"/>
  <c r="JD35" i="7"/>
  <c r="JE35" i="7"/>
  <c r="JF35" i="7"/>
  <c r="JG35" i="7"/>
  <c r="JH35" i="7"/>
  <c r="JI35" i="7"/>
  <c r="JJ35" i="7"/>
  <c r="JK35" i="7"/>
  <c r="JL35" i="7"/>
  <c r="JM35" i="7"/>
  <c r="JN35" i="7"/>
  <c r="JO35" i="7"/>
  <c r="JP35" i="7"/>
  <c r="JQ35" i="7"/>
  <c r="JR35" i="7"/>
  <c r="JS35" i="7"/>
  <c r="JT35" i="7"/>
  <c r="JU35" i="7"/>
  <c r="JV35" i="7"/>
  <c r="JW35" i="7"/>
  <c r="JX35" i="7"/>
  <c r="JY35" i="7"/>
  <c r="JZ35" i="7"/>
  <c r="KA35" i="7"/>
  <c r="KB35" i="7"/>
  <c r="KC35" i="7"/>
  <c r="KD35" i="7"/>
  <c r="KE35" i="7"/>
  <c r="KF35" i="7"/>
  <c r="KG35" i="7"/>
  <c r="KH35" i="7"/>
  <c r="KI35" i="7"/>
  <c r="KJ35" i="7"/>
  <c r="KK35" i="7"/>
  <c r="KL35" i="7"/>
  <c r="KM35" i="7"/>
  <c r="KN35" i="7"/>
  <c r="KO35" i="7"/>
  <c r="C36" i="7"/>
  <c r="D36" i="7"/>
  <c r="E36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T36" i="7"/>
  <c r="U36" i="7"/>
  <c r="V36" i="7"/>
  <c r="W36" i="7"/>
  <c r="X36" i="7"/>
  <c r="Y36" i="7"/>
  <c r="Z36" i="7"/>
  <c r="AA36" i="7"/>
  <c r="AB36" i="7"/>
  <c r="AC36" i="7"/>
  <c r="AD36" i="7"/>
  <c r="AE36" i="7"/>
  <c r="AF36" i="7"/>
  <c r="AG36" i="7"/>
  <c r="AH36" i="7"/>
  <c r="AI36" i="7"/>
  <c r="AJ36" i="7"/>
  <c r="AK36" i="7"/>
  <c r="AL36" i="7"/>
  <c r="AM36" i="7"/>
  <c r="AN36" i="7"/>
  <c r="AO36" i="7"/>
  <c r="AP36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BZ36" i="7"/>
  <c r="CA36" i="7"/>
  <c r="CB36" i="7"/>
  <c r="CC36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M36" i="7"/>
  <c r="DN36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FA36" i="7"/>
  <c r="FB36" i="7"/>
  <c r="FC36" i="7"/>
  <c r="FD36" i="7"/>
  <c r="FE36" i="7"/>
  <c r="FF36" i="7"/>
  <c r="FG36" i="7"/>
  <c r="FH36" i="7"/>
  <c r="FI36" i="7"/>
  <c r="FJ36" i="7"/>
  <c r="FK36" i="7"/>
  <c r="FL36" i="7"/>
  <c r="FM36" i="7"/>
  <c r="FN36" i="7"/>
  <c r="FO36" i="7"/>
  <c r="FP36" i="7"/>
  <c r="FQ36" i="7"/>
  <c r="FR36" i="7"/>
  <c r="FS36" i="7"/>
  <c r="FT36" i="7"/>
  <c r="FU36" i="7"/>
  <c r="FV36" i="7"/>
  <c r="FW36" i="7"/>
  <c r="FX36" i="7"/>
  <c r="FY36" i="7"/>
  <c r="FZ36" i="7"/>
  <c r="GA36" i="7"/>
  <c r="GB36" i="7"/>
  <c r="GC36" i="7"/>
  <c r="GD36" i="7"/>
  <c r="GE36" i="7"/>
  <c r="GF36" i="7"/>
  <c r="GG36" i="7"/>
  <c r="GH36" i="7"/>
  <c r="GI36" i="7"/>
  <c r="GJ36" i="7"/>
  <c r="GK36" i="7"/>
  <c r="GL36" i="7"/>
  <c r="GM36" i="7"/>
  <c r="GN36" i="7"/>
  <c r="GO36" i="7"/>
  <c r="GP36" i="7"/>
  <c r="GQ36" i="7"/>
  <c r="GR36" i="7"/>
  <c r="GS36" i="7"/>
  <c r="GT36" i="7"/>
  <c r="GU36" i="7"/>
  <c r="GV36" i="7"/>
  <c r="GW36" i="7"/>
  <c r="GX36" i="7"/>
  <c r="GY36" i="7"/>
  <c r="GZ36" i="7"/>
  <c r="HA36" i="7"/>
  <c r="HB36" i="7"/>
  <c r="HC36" i="7"/>
  <c r="HD36" i="7"/>
  <c r="HE36" i="7"/>
  <c r="HF36" i="7"/>
  <c r="HG36" i="7"/>
  <c r="HH36" i="7"/>
  <c r="HI36" i="7"/>
  <c r="HJ36" i="7"/>
  <c r="HK36" i="7"/>
  <c r="HL36" i="7"/>
  <c r="HM36" i="7"/>
  <c r="HN36" i="7"/>
  <c r="HO36" i="7"/>
  <c r="HP36" i="7"/>
  <c r="HQ36" i="7"/>
  <c r="HR36" i="7"/>
  <c r="HS36" i="7"/>
  <c r="HT36" i="7"/>
  <c r="HU36" i="7"/>
  <c r="HV36" i="7"/>
  <c r="HW36" i="7"/>
  <c r="HX36" i="7"/>
  <c r="HY36" i="7"/>
  <c r="HZ36" i="7"/>
  <c r="IA36" i="7"/>
  <c r="IB36" i="7"/>
  <c r="IC36" i="7"/>
  <c r="ID36" i="7"/>
  <c r="IE36" i="7"/>
  <c r="IF36" i="7"/>
  <c r="IG36" i="7"/>
  <c r="IH36" i="7"/>
  <c r="II36" i="7"/>
  <c r="IJ36" i="7"/>
  <c r="IK36" i="7"/>
  <c r="IL36" i="7"/>
  <c r="IM36" i="7"/>
  <c r="IN36" i="7"/>
  <c r="IO36" i="7"/>
  <c r="IP36" i="7"/>
  <c r="IQ36" i="7"/>
  <c r="IR36" i="7"/>
  <c r="IS36" i="7"/>
  <c r="IT36" i="7"/>
  <c r="IU36" i="7"/>
  <c r="IV36" i="7"/>
  <c r="IW36" i="7"/>
  <c r="IX36" i="7"/>
  <c r="IY36" i="7"/>
  <c r="IZ36" i="7"/>
  <c r="JA36" i="7"/>
  <c r="JB36" i="7"/>
  <c r="JC36" i="7"/>
  <c r="JD36" i="7"/>
  <c r="JE36" i="7"/>
  <c r="JF36" i="7"/>
  <c r="JG36" i="7"/>
  <c r="JH36" i="7"/>
  <c r="JI36" i="7"/>
  <c r="JJ36" i="7"/>
  <c r="JK36" i="7"/>
  <c r="JL36" i="7"/>
  <c r="JM36" i="7"/>
  <c r="JN36" i="7"/>
  <c r="JO36" i="7"/>
  <c r="JP36" i="7"/>
  <c r="JQ36" i="7"/>
  <c r="JR36" i="7"/>
  <c r="JS36" i="7"/>
  <c r="JT36" i="7"/>
  <c r="JU36" i="7"/>
  <c r="JV36" i="7"/>
  <c r="JW36" i="7"/>
  <c r="JX36" i="7"/>
  <c r="JY36" i="7"/>
  <c r="JZ36" i="7"/>
  <c r="KA36" i="7"/>
  <c r="KB36" i="7"/>
  <c r="KC36" i="7"/>
  <c r="KD36" i="7"/>
  <c r="KE36" i="7"/>
  <c r="KF36" i="7"/>
  <c r="KG36" i="7"/>
  <c r="KH36" i="7"/>
  <c r="KI36" i="7"/>
  <c r="KJ36" i="7"/>
  <c r="KK36" i="7"/>
  <c r="KL36" i="7"/>
  <c r="KM36" i="7"/>
  <c r="KN36" i="7"/>
  <c r="KO36" i="7"/>
  <c r="C37" i="7"/>
  <c r="D37" i="7"/>
  <c r="E37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T37" i="7"/>
  <c r="U37" i="7"/>
  <c r="V37" i="7"/>
  <c r="W37" i="7"/>
  <c r="X37" i="7"/>
  <c r="Y37" i="7"/>
  <c r="Z37" i="7"/>
  <c r="AA37" i="7"/>
  <c r="AB37" i="7"/>
  <c r="AC37" i="7"/>
  <c r="AD37" i="7"/>
  <c r="AE37" i="7"/>
  <c r="AF37" i="7"/>
  <c r="AG37" i="7"/>
  <c r="AH37" i="7"/>
  <c r="AI37" i="7"/>
  <c r="AJ37" i="7"/>
  <c r="AK37" i="7"/>
  <c r="AL37" i="7"/>
  <c r="AM37" i="7"/>
  <c r="AN37" i="7"/>
  <c r="AO37" i="7"/>
  <c r="AP37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CB37" i="7"/>
  <c r="CC37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M37" i="7"/>
  <c r="DN37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FA37" i="7"/>
  <c r="FB37" i="7"/>
  <c r="FC37" i="7"/>
  <c r="FD37" i="7"/>
  <c r="FE37" i="7"/>
  <c r="FF37" i="7"/>
  <c r="FG37" i="7"/>
  <c r="FH37" i="7"/>
  <c r="FI37" i="7"/>
  <c r="FJ37" i="7"/>
  <c r="FK37" i="7"/>
  <c r="FL37" i="7"/>
  <c r="FM37" i="7"/>
  <c r="FN37" i="7"/>
  <c r="FO37" i="7"/>
  <c r="FP37" i="7"/>
  <c r="FQ37" i="7"/>
  <c r="FR37" i="7"/>
  <c r="FS37" i="7"/>
  <c r="FT37" i="7"/>
  <c r="FU37" i="7"/>
  <c r="FV37" i="7"/>
  <c r="FW37" i="7"/>
  <c r="FX37" i="7"/>
  <c r="FY37" i="7"/>
  <c r="FZ37" i="7"/>
  <c r="GA37" i="7"/>
  <c r="GB37" i="7"/>
  <c r="GC37" i="7"/>
  <c r="GD37" i="7"/>
  <c r="GE37" i="7"/>
  <c r="GF37" i="7"/>
  <c r="GG37" i="7"/>
  <c r="GH37" i="7"/>
  <c r="GI37" i="7"/>
  <c r="GJ37" i="7"/>
  <c r="GK37" i="7"/>
  <c r="GL37" i="7"/>
  <c r="GM37" i="7"/>
  <c r="GN37" i="7"/>
  <c r="GO37" i="7"/>
  <c r="GP37" i="7"/>
  <c r="GQ37" i="7"/>
  <c r="GR37" i="7"/>
  <c r="GS37" i="7"/>
  <c r="GT37" i="7"/>
  <c r="GU37" i="7"/>
  <c r="GV37" i="7"/>
  <c r="GW37" i="7"/>
  <c r="GX37" i="7"/>
  <c r="GY37" i="7"/>
  <c r="GZ37" i="7"/>
  <c r="HA37" i="7"/>
  <c r="HB37" i="7"/>
  <c r="HC37" i="7"/>
  <c r="HD37" i="7"/>
  <c r="HE37" i="7"/>
  <c r="HF37" i="7"/>
  <c r="HG37" i="7"/>
  <c r="HH37" i="7"/>
  <c r="HI37" i="7"/>
  <c r="HJ37" i="7"/>
  <c r="HK37" i="7"/>
  <c r="HL37" i="7"/>
  <c r="HM37" i="7"/>
  <c r="HN37" i="7"/>
  <c r="HO37" i="7"/>
  <c r="HP37" i="7"/>
  <c r="HQ37" i="7"/>
  <c r="HR37" i="7"/>
  <c r="HS37" i="7"/>
  <c r="HT37" i="7"/>
  <c r="HU37" i="7"/>
  <c r="HV37" i="7"/>
  <c r="HW37" i="7"/>
  <c r="HX37" i="7"/>
  <c r="HY37" i="7"/>
  <c r="HZ37" i="7"/>
  <c r="IA37" i="7"/>
  <c r="IB37" i="7"/>
  <c r="IC37" i="7"/>
  <c r="ID37" i="7"/>
  <c r="IE37" i="7"/>
  <c r="IF37" i="7"/>
  <c r="IG37" i="7"/>
  <c r="IH37" i="7"/>
  <c r="II37" i="7"/>
  <c r="IJ37" i="7"/>
  <c r="IK37" i="7"/>
  <c r="IL37" i="7"/>
  <c r="IM37" i="7"/>
  <c r="IN37" i="7"/>
  <c r="IO37" i="7"/>
  <c r="IP37" i="7"/>
  <c r="IQ37" i="7"/>
  <c r="IR37" i="7"/>
  <c r="IS37" i="7"/>
  <c r="IT37" i="7"/>
  <c r="IU37" i="7"/>
  <c r="IV37" i="7"/>
  <c r="IW37" i="7"/>
  <c r="IX37" i="7"/>
  <c r="IY37" i="7"/>
  <c r="IZ37" i="7"/>
  <c r="JA37" i="7"/>
  <c r="JB37" i="7"/>
  <c r="JC37" i="7"/>
  <c r="JD37" i="7"/>
  <c r="JE37" i="7"/>
  <c r="JF37" i="7"/>
  <c r="JG37" i="7"/>
  <c r="JH37" i="7"/>
  <c r="JI37" i="7"/>
  <c r="JJ37" i="7"/>
  <c r="JK37" i="7"/>
  <c r="JL37" i="7"/>
  <c r="JM37" i="7"/>
  <c r="JN37" i="7"/>
  <c r="JO37" i="7"/>
  <c r="JP37" i="7"/>
  <c r="JQ37" i="7"/>
  <c r="JR37" i="7"/>
  <c r="JS37" i="7"/>
  <c r="JT37" i="7"/>
  <c r="JU37" i="7"/>
  <c r="JV37" i="7"/>
  <c r="JW37" i="7"/>
  <c r="JX37" i="7"/>
  <c r="JY37" i="7"/>
  <c r="JZ37" i="7"/>
  <c r="KA37" i="7"/>
  <c r="KB37" i="7"/>
  <c r="KC37" i="7"/>
  <c r="KD37" i="7"/>
  <c r="KE37" i="7"/>
  <c r="KF37" i="7"/>
  <c r="KG37" i="7"/>
  <c r="KH37" i="7"/>
  <c r="KI37" i="7"/>
  <c r="KJ37" i="7"/>
  <c r="KK37" i="7"/>
  <c r="KL37" i="7"/>
  <c r="KM37" i="7"/>
  <c r="KN37" i="7"/>
  <c r="KO37" i="7"/>
  <c r="C38" i="7"/>
  <c r="D38" i="7"/>
  <c r="E38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T38" i="7"/>
  <c r="U38" i="7"/>
  <c r="V38" i="7"/>
  <c r="W38" i="7"/>
  <c r="X38" i="7"/>
  <c r="Y38" i="7"/>
  <c r="Z38" i="7"/>
  <c r="AA38" i="7"/>
  <c r="AB38" i="7"/>
  <c r="AC38" i="7"/>
  <c r="AD38" i="7"/>
  <c r="AE38" i="7"/>
  <c r="AF38" i="7"/>
  <c r="AG38" i="7"/>
  <c r="AH38" i="7"/>
  <c r="AI38" i="7"/>
  <c r="AJ38" i="7"/>
  <c r="AK38" i="7"/>
  <c r="AL38" i="7"/>
  <c r="AM38" i="7"/>
  <c r="AN38" i="7"/>
  <c r="AO38" i="7"/>
  <c r="AP38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BZ38" i="7"/>
  <c r="CA38" i="7"/>
  <c r="CB38" i="7"/>
  <c r="CC38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FA38" i="7"/>
  <c r="FB38" i="7"/>
  <c r="FC38" i="7"/>
  <c r="FD38" i="7"/>
  <c r="FE38" i="7"/>
  <c r="FF38" i="7"/>
  <c r="FG38" i="7"/>
  <c r="FH38" i="7"/>
  <c r="FI38" i="7"/>
  <c r="FJ38" i="7"/>
  <c r="FK38" i="7"/>
  <c r="FL38" i="7"/>
  <c r="FM38" i="7"/>
  <c r="FN38" i="7"/>
  <c r="FO38" i="7"/>
  <c r="FP38" i="7"/>
  <c r="FQ38" i="7"/>
  <c r="FR38" i="7"/>
  <c r="FS38" i="7"/>
  <c r="FT38" i="7"/>
  <c r="FU38" i="7"/>
  <c r="FV38" i="7"/>
  <c r="FW38" i="7"/>
  <c r="FX38" i="7"/>
  <c r="FY38" i="7"/>
  <c r="FZ38" i="7"/>
  <c r="GA38" i="7"/>
  <c r="GB38" i="7"/>
  <c r="GC38" i="7"/>
  <c r="GD38" i="7"/>
  <c r="GE38" i="7"/>
  <c r="GF38" i="7"/>
  <c r="GG38" i="7"/>
  <c r="GH38" i="7"/>
  <c r="GI38" i="7"/>
  <c r="GJ38" i="7"/>
  <c r="GK38" i="7"/>
  <c r="GL38" i="7"/>
  <c r="GM38" i="7"/>
  <c r="GN38" i="7"/>
  <c r="GO38" i="7"/>
  <c r="GP38" i="7"/>
  <c r="GQ38" i="7"/>
  <c r="GR38" i="7"/>
  <c r="GS38" i="7"/>
  <c r="GT38" i="7"/>
  <c r="GU38" i="7"/>
  <c r="GV38" i="7"/>
  <c r="GW38" i="7"/>
  <c r="GX38" i="7"/>
  <c r="GY38" i="7"/>
  <c r="GZ38" i="7"/>
  <c r="HA38" i="7"/>
  <c r="HB38" i="7"/>
  <c r="HC38" i="7"/>
  <c r="HD38" i="7"/>
  <c r="HE38" i="7"/>
  <c r="HF38" i="7"/>
  <c r="HG38" i="7"/>
  <c r="HH38" i="7"/>
  <c r="HI38" i="7"/>
  <c r="HJ38" i="7"/>
  <c r="HK38" i="7"/>
  <c r="HL38" i="7"/>
  <c r="HM38" i="7"/>
  <c r="HN38" i="7"/>
  <c r="HO38" i="7"/>
  <c r="HP38" i="7"/>
  <c r="HQ38" i="7"/>
  <c r="HR38" i="7"/>
  <c r="HS38" i="7"/>
  <c r="HT38" i="7"/>
  <c r="HU38" i="7"/>
  <c r="HV38" i="7"/>
  <c r="HW38" i="7"/>
  <c r="HX38" i="7"/>
  <c r="HY38" i="7"/>
  <c r="HZ38" i="7"/>
  <c r="IA38" i="7"/>
  <c r="IB38" i="7"/>
  <c r="IC38" i="7"/>
  <c r="ID38" i="7"/>
  <c r="IE38" i="7"/>
  <c r="IF38" i="7"/>
  <c r="IG38" i="7"/>
  <c r="IH38" i="7"/>
  <c r="II38" i="7"/>
  <c r="IJ38" i="7"/>
  <c r="IK38" i="7"/>
  <c r="IL38" i="7"/>
  <c r="IM38" i="7"/>
  <c r="IN38" i="7"/>
  <c r="IO38" i="7"/>
  <c r="IP38" i="7"/>
  <c r="IQ38" i="7"/>
  <c r="IR38" i="7"/>
  <c r="IS38" i="7"/>
  <c r="IT38" i="7"/>
  <c r="IU38" i="7"/>
  <c r="IV38" i="7"/>
  <c r="IW38" i="7"/>
  <c r="IX38" i="7"/>
  <c r="IY38" i="7"/>
  <c r="IZ38" i="7"/>
  <c r="JA38" i="7"/>
  <c r="JB38" i="7"/>
  <c r="JC38" i="7"/>
  <c r="JD38" i="7"/>
  <c r="JE38" i="7"/>
  <c r="JF38" i="7"/>
  <c r="JG38" i="7"/>
  <c r="JH38" i="7"/>
  <c r="JI38" i="7"/>
  <c r="JJ38" i="7"/>
  <c r="JK38" i="7"/>
  <c r="JL38" i="7"/>
  <c r="JM38" i="7"/>
  <c r="JN38" i="7"/>
  <c r="JO38" i="7"/>
  <c r="JP38" i="7"/>
  <c r="JQ38" i="7"/>
  <c r="JR38" i="7"/>
  <c r="JS38" i="7"/>
  <c r="JT38" i="7"/>
  <c r="JU38" i="7"/>
  <c r="JV38" i="7"/>
  <c r="JW38" i="7"/>
  <c r="JX38" i="7"/>
  <c r="JY38" i="7"/>
  <c r="JZ38" i="7"/>
  <c r="KA38" i="7"/>
  <c r="KB38" i="7"/>
  <c r="KC38" i="7"/>
  <c r="KD38" i="7"/>
  <c r="KE38" i="7"/>
  <c r="KF38" i="7"/>
  <c r="KG38" i="7"/>
  <c r="KH38" i="7"/>
  <c r="KI38" i="7"/>
  <c r="KJ38" i="7"/>
  <c r="KK38" i="7"/>
  <c r="KL38" i="7"/>
  <c r="KM38" i="7"/>
  <c r="KN38" i="7"/>
  <c r="KO38" i="7"/>
  <c r="C39" i="7"/>
  <c r="D39" i="7"/>
  <c r="E39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T39" i="7"/>
  <c r="U39" i="7"/>
  <c r="V39" i="7"/>
  <c r="W39" i="7"/>
  <c r="X39" i="7"/>
  <c r="Y39" i="7"/>
  <c r="Z39" i="7"/>
  <c r="AA39" i="7"/>
  <c r="AB39" i="7"/>
  <c r="AC39" i="7"/>
  <c r="AD39" i="7"/>
  <c r="AE39" i="7"/>
  <c r="AF39" i="7"/>
  <c r="AG39" i="7"/>
  <c r="AH39" i="7"/>
  <c r="AI39" i="7"/>
  <c r="AJ39" i="7"/>
  <c r="AK39" i="7"/>
  <c r="AL39" i="7"/>
  <c r="AM39" i="7"/>
  <c r="AN39" i="7"/>
  <c r="AO39" i="7"/>
  <c r="AP39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BZ39" i="7"/>
  <c r="CA39" i="7"/>
  <c r="CB39" i="7"/>
  <c r="CC39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M39" i="7"/>
  <c r="DN39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FA39" i="7"/>
  <c r="FB39" i="7"/>
  <c r="FC39" i="7"/>
  <c r="FD39" i="7"/>
  <c r="FE39" i="7"/>
  <c r="FF39" i="7"/>
  <c r="FG39" i="7"/>
  <c r="FH39" i="7"/>
  <c r="FI39" i="7"/>
  <c r="FJ39" i="7"/>
  <c r="FK39" i="7"/>
  <c r="FL39" i="7"/>
  <c r="FM39" i="7"/>
  <c r="FN39" i="7"/>
  <c r="FO39" i="7"/>
  <c r="FP39" i="7"/>
  <c r="FQ39" i="7"/>
  <c r="FR39" i="7"/>
  <c r="FS39" i="7"/>
  <c r="FT39" i="7"/>
  <c r="FU39" i="7"/>
  <c r="FV39" i="7"/>
  <c r="FW39" i="7"/>
  <c r="FX39" i="7"/>
  <c r="FY39" i="7"/>
  <c r="FZ39" i="7"/>
  <c r="GA39" i="7"/>
  <c r="GB39" i="7"/>
  <c r="GC39" i="7"/>
  <c r="GD39" i="7"/>
  <c r="GE39" i="7"/>
  <c r="GF39" i="7"/>
  <c r="GG39" i="7"/>
  <c r="GH39" i="7"/>
  <c r="GI39" i="7"/>
  <c r="GJ39" i="7"/>
  <c r="GK39" i="7"/>
  <c r="GL39" i="7"/>
  <c r="GM39" i="7"/>
  <c r="GN39" i="7"/>
  <c r="GO39" i="7"/>
  <c r="GP39" i="7"/>
  <c r="GQ39" i="7"/>
  <c r="GR39" i="7"/>
  <c r="GS39" i="7"/>
  <c r="GT39" i="7"/>
  <c r="GU39" i="7"/>
  <c r="GV39" i="7"/>
  <c r="GW39" i="7"/>
  <c r="GX39" i="7"/>
  <c r="GY39" i="7"/>
  <c r="GZ39" i="7"/>
  <c r="HA39" i="7"/>
  <c r="HB39" i="7"/>
  <c r="HC39" i="7"/>
  <c r="HD39" i="7"/>
  <c r="HE39" i="7"/>
  <c r="HF39" i="7"/>
  <c r="HG39" i="7"/>
  <c r="HH39" i="7"/>
  <c r="HI39" i="7"/>
  <c r="HJ39" i="7"/>
  <c r="HK39" i="7"/>
  <c r="HL39" i="7"/>
  <c r="HM39" i="7"/>
  <c r="HN39" i="7"/>
  <c r="HO39" i="7"/>
  <c r="HP39" i="7"/>
  <c r="HQ39" i="7"/>
  <c r="HR39" i="7"/>
  <c r="HS39" i="7"/>
  <c r="HT39" i="7"/>
  <c r="HU39" i="7"/>
  <c r="HV39" i="7"/>
  <c r="HW39" i="7"/>
  <c r="HX39" i="7"/>
  <c r="HY39" i="7"/>
  <c r="HZ39" i="7"/>
  <c r="IA39" i="7"/>
  <c r="IB39" i="7"/>
  <c r="IC39" i="7"/>
  <c r="ID39" i="7"/>
  <c r="IE39" i="7"/>
  <c r="IF39" i="7"/>
  <c r="IG39" i="7"/>
  <c r="IH39" i="7"/>
  <c r="II39" i="7"/>
  <c r="IJ39" i="7"/>
  <c r="IK39" i="7"/>
  <c r="IL39" i="7"/>
  <c r="IM39" i="7"/>
  <c r="IN39" i="7"/>
  <c r="IO39" i="7"/>
  <c r="IP39" i="7"/>
  <c r="IQ39" i="7"/>
  <c r="IR39" i="7"/>
  <c r="IS39" i="7"/>
  <c r="IT39" i="7"/>
  <c r="IU39" i="7"/>
  <c r="IV39" i="7"/>
  <c r="IW39" i="7"/>
  <c r="IX39" i="7"/>
  <c r="IY39" i="7"/>
  <c r="IZ39" i="7"/>
  <c r="JA39" i="7"/>
  <c r="JB39" i="7"/>
  <c r="JC39" i="7"/>
  <c r="JD39" i="7"/>
  <c r="JE39" i="7"/>
  <c r="JF39" i="7"/>
  <c r="JG39" i="7"/>
  <c r="JH39" i="7"/>
  <c r="JI39" i="7"/>
  <c r="JJ39" i="7"/>
  <c r="JK39" i="7"/>
  <c r="JL39" i="7"/>
  <c r="JM39" i="7"/>
  <c r="JN39" i="7"/>
  <c r="JO39" i="7"/>
  <c r="JP39" i="7"/>
  <c r="JQ39" i="7"/>
  <c r="JR39" i="7"/>
  <c r="JS39" i="7"/>
  <c r="JT39" i="7"/>
  <c r="JU39" i="7"/>
  <c r="JV39" i="7"/>
  <c r="JW39" i="7"/>
  <c r="JX39" i="7"/>
  <c r="JY39" i="7"/>
  <c r="JZ39" i="7"/>
  <c r="KA39" i="7"/>
  <c r="KB39" i="7"/>
  <c r="KC39" i="7"/>
  <c r="KD39" i="7"/>
  <c r="KE39" i="7"/>
  <c r="KF39" i="7"/>
  <c r="KG39" i="7"/>
  <c r="KH39" i="7"/>
  <c r="KI39" i="7"/>
  <c r="KJ39" i="7"/>
  <c r="KK39" i="7"/>
  <c r="KL39" i="7"/>
  <c r="KM39" i="7"/>
  <c r="KN39" i="7"/>
  <c r="KO39" i="7"/>
  <c r="C40" i="7"/>
  <c r="D40" i="7"/>
  <c r="E40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T40" i="7"/>
  <c r="U40" i="7"/>
  <c r="V40" i="7"/>
  <c r="W40" i="7"/>
  <c r="X40" i="7"/>
  <c r="Y40" i="7"/>
  <c r="Z40" i="7"/>
  <c r="AA40" i="7"/>
  <c r="AB40" i="7"/>
  <c r="AC40" i="7"/>
  <c r="AD40" i="7"/>
  <c r="AE40" i="7"/>
  <c r="AF40" i="7"/>
  <c r="AG40" i="7"/>
  <c r="AH40" i="7"/>
  <c r="AI40" i="7"/>
  <c r="AJ40" i="7"/>
  <c r="AK40" i="7"/>
  <c r="AL40" i="7"/>
  <c r="AM40" i="7"/>
  <c r="AN40" i="7"/>
  <c r="AO40" i="7"/>
  <c r="AP40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BZ40" i="7"/>
  <c r="CA40" i="7"/>
  <c r="CB40" i="7"/>
  <c r="CC40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M40" i="7"/>
  <c r="DN40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FA40" i="7"/>
  <c r="FB40" i="7"/>
  <c r="FC40" i="7"/>
  <c r="FD40" i="7"/>
  <c r="FE40" i="7"/>
  <c r="FF40" i="7"/>
  <c r="FG40" i="7"/>
  <c r="FH40" i="7"/>
  <c r="FI40" i="7"/>
  <c r="FJ40" i="7"/>
  <c r="FK40" i="7"/>
  <c r="FL40" i="7"/>
  <c r="FM40" i="7"/>
  <c r="FN40" i="7"/>
  <c r="FO40" i="7"/>
  <c r="FP40" i="7"/>
  <c r="FQ40" i="7"/>
  <c r="FR40" i="7"/>
  <c r="FS40" i="7"/>
  <c r="FT40" i="7"/>
  <c r="FU40" i="7"/>
  <c r="FV40" i="7"/>
  <c r="FW40" i="7"/>
  <c r="FX40" i="7"/>
  <c r="FY40" i="7"/>
  <c r="FZ40" i="7"/>
  <c r="GA40" i="7"/>
  <c r="GB40" i="7"/>
  <c r="GC40" i="7"/>
  <c r="GD40" i="7"/>
  <c r="GE40" i="7"/>
  <c r="GF40" i="7"/>
  <c r="GG40" i="7"/>
  <c r="GH40" i="7"/>
  <c r="GI40" i="7"/>
  <c r="GJ40" i="7"/>
  <c r="GK40" i="7"/>
  <c r="GL40" i="7"/>
  <c r="GM40" i="7"/>
  <c r="GN40" i="7"/>
  <c r="GO40" i="7"/>
  <c r="GP40" i="7"/>
  <c r="GQ40" i="7"/>
  <c r="GR40" i="7"/>
  <c r="GS40" i="7"/>
  <c r="GT40" i="7"/>
  <c r="GU40" i="7"/>
  <c r="GV40" i="7"/>
  <c r="GW40" i="7"/>
  <c r="GX40" i="7"/>
  <c r="GY40" i="7"/>
  <c r="GZ40" i="7"/>
  <c r="HA40" i="7"/>
  <c r="HB40" i="7"/>
  <c r="HC40" i="7"/>
  <c r="HD40" i="7"/>
  <c r="HE40" i="7"/>
  <c r="HF40" i="7"/>
  <c r="HG40" i="7"/>
  <c r="HH40" i="7"/>
  <c r="HI40" i="7"/>
  <c r="HJ40" i="7"/>
  <c r="HK40" i="7"/>
  <c r="HL40" i="7"/>
  <c r="HM40" i="7"/>
  <c r="HN40" i="7"/>
  <c r="HO40" i="7"/>
  <c r="HP40" i="7"/>
  <c r="HQ40" i="7"/>
  <c r="HR40" i="7"/>
  <c r="HS40" i="7"/>
  <c r="HT40" i="7"/>
  <c r="HU40" i="7"/>
  <c r="HV40" i="7"/>
  <c r="HW40" i="7"/>
  <c r="HX40" i="7"/>
  <c r="HY40" i="7"/>
  <c r="HZ40" i="7"/>
  <c r="IA40" i="7"/>
  <c r="IB40" i="7"/>
  <c r="IC40" i="7"/>
  <c r="ID40" i="7"/>
  <c r="IE40" i="7"/>
  <c r="IF40" i="7"/>
  <c r="IG40" i="7"/>
  <c r="IH40" i="7"/>
  <c r="II40" i="7"/>
  <c r="IJ40" i="7"/>
  <c r="IK40" i="7"/>
  <c r="IL40" i="7"/>
  <c r="IM40" i="7"/>
  <c r="IN40" i="7"/>
  <c r="IO40" i="7"/>
  <c r="IP40" i="7"/>
  <c r="IQ40" i="7"/>
  <c r="IR40" i="7"/>
  <c r="IS40" i="7"/>
  <c r="IT40" i="7"/>
  <c r="IU40" i="7"/>
  <c r="IV40" i="7"/>
  <c r="IW40" i="7"/>
  <c r="IX40" i="7"/>
  <c r="IY40" i="7"/>
  <c r="IZ40" i="7"/>
  <c r="JA40" i="7"/>
  <c r="JB40" i="7"/>
  <c r="JC40" i="7"/>
  <c r="JD40" i="7"/>
  <c r="JE40" i="7"/>
  <c r="JF40" i="7"/>
  <c r="JG40" i="7"/>
  <c r="JH40" i="7"/>
  <c r="JI40" i="7"/>
  <c r="JJ40" i="7"/>
  <c r="JK40" i="7"/>
  <c r="JL40" i="7"/>
  <c r="JM40" i="7"/>
  <c r="JN40" i="7"/>
  <c r="JO40" i="7"/>
  <c r="JP40" i="7"/>
  <c r="JQ40" i="7"/>
  <c r="JR40" i="7"/>
  <c r="JS40" i="7"/>
  <c r="JT40" i="7"/>
  <c r="JU40" i="7"/>
  <c r="JV40" i="7"/>
  <c r="JW40" i="7"/>
  <c r="JX40" i="7"/>
  <c r="JY40" i="7"/>
  <c r="JZ40" i="7"/>
  <c r="KA40" i="7"/>
  <c r="KB40" i="7"/>
  <c r="KC40" i="7"/>
  <c r="KD40" i="7"/>
  <c r="KE40" i="7"/>
  <c r="KF40" i="7"/>
  <c r="KG40" i="7"/>
  <c r="KH40" i="7"/>
  <c r="KI40" i="7"/>
  <c r="KJ40" i="7"/>
  <c r="KK40" i="7"/>
  <c r="KL40" i="7"/>
  <c r="KM40" i="7"/>
  <c r="KN40" i="7"/>
  <c r="KO40" i="7"/>
  <c r="C41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V41" i="7"/>
  <c r="W41" i="7"/>
  <c r="X41" i="7"/>
  <c r="Y41" i="7"/>
  <c r="Z41" i="7"/>
  <c r="AA41" i="7"/>
  <c r="AB41" i="7"/>
  <c r="AC41" i="7"/>
  <c r="AD41" i="7"/>
  <c r="AE41" i="7"/>
  <c r="AF41" i="7"/>
  <c r="AG41" i="7"/>
  <c r="AH41" i="7"/>
  <c r="AI41" i="7"/>
  <c r="AJ41" i="7"/>
  <c r="AK41" i="7"/>
  <c r="AL41" i="7"/>
  <c r="AM41" i="7"/>
  <c r="AN41" i="7"/>
  <c r="AO41" i="7"/>
  <c r="AP41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CB41" i="7"/>
  <c r="CC41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M41" i="7"/>
  <c r="DN41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FA41" i="7"/>
  <c r="FB41" i="7"/>
  <c r="FC41" i="7"/>
  <c r="FD41" i="7"/>
  <c r="FE41" i="7"/>
  <c r="FF41" i="7"/>
  <c r="FG41" i="7"/>
  <c r="FH41" i="7"/>
  <c r="FI41" i="7"/>
  <c r="FJ41" i="7"/>
  <c r="FK41" i="7"/>
  <c r="FL41" i="7"/>
  <c r="FM41" i="7"/>
  <c r="FN41" i="7"/>
  <c r="FO41" i="7"/>
  <c r="FP41" i="7"/>
  <c r="FQ41" i="7"/>
  <c r="FR41" i="7"/>
  <c r="FS41" i="7"/>
  <c r="FT41" i="7"/>
  <c r="FU41" i="7"/>
  <c r="FV41" i="7"/>
  <c r="FW41" i="7"/>
  <c r="FX41" i="7"/>
  <c r="FY41" i="7"/>
  <c r="FZ41" i="7"/>
  <c r="GA41" i="7"/>
  <c r="GB41" i="7"/>
  <c r="GC41" i="7"/>
  <c r="GD41" i="7"/>
  <c r="GE41" i="7"/>
  <c r="GF41" i="7"/>
  <c r="GG41" i="7"/>
  <c r="GH41" i="7"/>
  <c r="GI41" i="7"/>
  <c r="GJ41" i="7"/>
  <c r="GK41" i="7"/>
  <c r="GL41" i="7"/>
  <c r="GM41" i="7"/>
  <c r="GN41" i="7"/>
  <c r="GO41" i="7"/>
  <c r="GP41" i="7"/>
  <c r="GQ41" i="7"/>
  <c r="GR41" i="7"/>
  <c r="GS41" i="7"/>
  <c r="GT41" i="7"/>
  <c r="GU41" i="7"/>
  <c r="GV41" i="7"/>
  <c r="GW41" i="7"/>
  <c r="GX41" i="7"/>
  <c r="GY41" i="7"/>
  <c r="GZ41" i="7"/>
  <c r="HA41" i="7"/>
  <c r="HB41" i="7"/>
  <c r="HC41" i="7"/>
  <c r="HD41" i="7"/>
  <c r="HE41" i="7"/>
  <c r="HF41" i="7"/>
  <c r="HG41" i="7"/>
  <c r="HH41" i="7"/>
  <c r="HI41" i="7"/>
  <c r="HJ41" i="7"/>
  <c r="HK41" i="7"/>
  <c r="HL41" i="7"/>
  <c r="HM41" i="7"/>
  <c r="HN41" i="7"/>
  <c r="HO41" i="7"/>
  <c r="HP41" i="7"/>
  <c r="HQ41" i="7"/>
  <c r="HR41" i="7"/>
  <c r="HS41" i="7"/>
  <c r="HT41" i="7"/>
  <c r="HU41" i="7"/>
  <c r="HV41" i="7"/>
  <c r="HW41" i="7"/>
  <c r="HX41" i="7"/>
  <c r="HY41" i="7"/>
  <c r="HZ41" i="7"/>
  <c r="IA41" i="7"/>
  <c r="IB41" i="7"/>
  <c r="IC41" i="7"/>
  <c r="ID41" i="7"/>
  <c r="IE41" i="7"/>
  <c r="IF41" i="7"/>
  <c r="IG41" i="7"/>
  <c r="IH41" i="7"/>
  <c r="II41" i="7"/>
  <c r="IJ41" i="7"/>
  <c r="IK41" i="7"/>
  <c r="IL41" i="7"/>
  <c r="IM41" i="7"/>
  <c r="IN41" i="7"/>
  <c r="IO41" i="7"/>
  <c r="IP41" i="7"/>
  <c r="IQ41" i="7"/>
  <c r="IR41" i="7"/>
  <c r="IS41" i="7"/>
  <c r="IT41" i="7"/>
  <c r="IU41" i="7"/>
  <c r="IV41" i="7"/>
  <c r="IW41" i="7"/>
  <c r="IX41" i="7"/>
  <c r="IY41" i="7"/>
  <c r="IZ41" i="7"/>
  <c r="JA41" i="7"/>
  <c r="JB41" i="7"/>
  <c r="JC41" i="7"/>
  <c r="JD41" i="7"/>
  <c r="JE41" i="7"/>
  <c r="JF41" i="7"/>
  <c r="JG41" i="7"/>
  <c r="JH41" i="7"/>
  <c r="JI41" i="7"/>
  <c r="JJ41" i="7"/>
  <c r="JK41" i="7"/>
  <c r="JL41" i="7"/>
  <c r="JM41" i="7"/>
  <c r="JN41" i="7"/>
  <c r="JO41" i="7"/>
  <c r="JP41" i="7"/>
  <c r="JQ41" i="7"/>
  <c r="JR41" i="7"/>
  <c r="JS41" i="7"/>
  <c r="JT41" i="7"/>
  <c r="JU41" i="7"/>
  <c r="JV41" i="7"/>
  <c r="JW41" i="7"/>
  <c r="JX41" i="7"/>
  <c r="JY41" i="7"/>
  <c r="JZ41" i="7"/>
  <c r="KA41" i="7"/>
  <c r="KB41" i="7"/>
  <c r="KC41" i="7"/>
  <c r="KD41" i="7"/>
  <c r="KE41" i="7"/>
  <c r="KF41" i="7"/>
  <c r="KG41" i="7"/>
  <c r="KH41" i="7"/>
  <c r="KI41" i="7"/>
  <c r="KJ41" i="7"/>
  <c r="KK41" i="7"/>
  <c r="KL41" i="7"/>
  <c r="KM41" i="7"/>
  <c r="KN41" i="7"/>
  <c r="KO41" i="7"/>
  <c r="C42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Y42" i="7"/>
  <c r="Z42" i="7"/>
  <c r="AA42" i="7"/>
  <c r="AB42" i="7"/>
  <c r="AC42" i="7"/>
  <c r="AD42" i="7"/>
  <c r="AE42" i="7"/>
  <c r="AF42" i="7"/>
  <c r="AG42" i="7"/>
  <c r="AH42" i="7"/>
  <c r="AI42" i="7"/>
  <c r="AJ42" i="7"/>
  <c r="AK42" i="7"/>
  <c r="AL42" i="7"/>
  <c r="AM42" i="7"/>
  <c r="AN42" i="7"/>
  <c r="AO42" i="7"/>
  <c r="AP42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BZ42" i="7"/>
  <c r="CA42" i="7"/>
  <c r="CB42" i="7"/>
  <c r="CC42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M42" i="7"/>
  <c r="DN42" i="7"/>
  <c r="DO42" i="7"/>
  <c r="DP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FA42" i="7"/>
  <c r="FB42" i="7"/>
  <c r="FC42" i="7"/>
  <c r="FD42" i="7"/>
  <c r="FE42" i="7"/>
  <c r="FF42" i="7"/>
  <c r="FG42" i="7"/>
  <c r="FH42" i="7"/>
  <c r="FI42" i="7"/>
  <c r="FJ42" i="7"/>
  <c r="FK42" i="7"/>
  <c r="FL42" i="7"/>
  <c r="FM42" i="7"/>
  <c r="FN42" i="7"/>
  <c r="FO42" i="7"/>
  <c r="FP42" i="7"/>
  <c r="FQ42" i="7"/>
  <c r="FR42" i="7"/>
  <c r="FS42" i="7"/>
  <c r="FT42" i="7"/>
  <c r="FU42" i="7"/>
  <c r="FV42" i="7"/>
  <c r="FW42" i="7"/>
  <c r="FX42" i="7"/>
  <c r="FY42" i="7"/>
  <c r="FZ42" i="7"/>
  <c r="GA42" i="7"/>
  <c r="GB42" i="7"/>
  <c r="GC42" i="7"/>
  <c r="GD42" i="7"/>
  <c r="GE42" i="7"/>
  <c r="GF42" i="7"/>
  <c r="GG42" i="7"/>
  <c r="GH42" i="7"/>
  <c r="GI42" i="7"/>
  <c r="GJ42" i="7"/>
  <c r="GK42" i="7"/>
  <c r="GL42" i="7"/>
  <c r="GM42" i="7"/>
  <c r="GN42" i="7"/>
  <c r="GO42" i="7"/>
  <c r="GP42" i="7"/>
  <c r="GQ42" i="7"/>
  <c r="GR42" i="7"/>
  <c r="GS42" i="7"/>
  <c r="GT42" i="7"/>
  <c r="GU42" i="7"/>
  <c r="GV42" i="7"/>
  <c r="GW42" i="7"/>
  <c r="GX42" i="7"/>
  <c r="GY42" i="7"/>
  <c r="GZ42" i="7"/>
  <c r="HA42" i="7"/>
  <c r="HB42" i="7"/>
  <c r="HC42" i="7"/>
  <c r="HD42" i="7"/>
  <c r="HE42" i="7"/>
  <c r="HF42" i="7"/>
  <c r="HG42" i="7"/>
  <c r="HH42" i="7"/>
  <c r="HI42" i="7"/>
  <c r="HJ42" i="7"/>
  <c r="HK42" i="7"/>
  <c r="HL42" i="7"/>
  <c r="HM42" i="7"/>
  <c r="HN42" i="7"/>
  <c r="HO42" i="7"/>
  <c r="HP42" i="7"/>
  <c r="HQ42" i="7"/>
  <c r="HR42" i="7"/>
  <c r="HS42" i="7"/>
  <c r="HT42" i="7"/>
  <c r="HU42" i="7"/>
  <c r="HV42" i="7"/>
  <c r="HW42" i="7"/>
  <c r="HX42" i="7"/>
  <c r="HY42" i="7"/>
  <c r="HZ42" i="7"/>
  <c r="IA42" i="7"/>
  <c r="IB42" i="7"/>
  <c r="IC42" i="7"/>
  <c r="ID42" i="7"/>
  <c r="IE42" i="7"/>
  <c r="IF42" i="7"/>
  <c r="IG42" i="7"/>
  <c r="IH42" i="7"/>
  <c r="II42" i="7"/>
  <c r="IJ42" i="7"/>
  <c r="IK42" i="7"/>
  <c r="IL42" i="7"/>
  <c r="IM42" i="7"/>
  <c r="IN42" i="7"/>
  <c r="IO42" i="7"/>
  <c r="IP42" i="7"/>
  <c r="IQ42" i="7"/>
  <c r="IR42" i="7"/>
  <c r="IS42" i="7"/>
  <c r="IT42" i="7"/>
  <c r="IU42" i="7"/>
  <c r="IV42" i="7"/>
  <c r="IW42" i="7"/>
  <c r="IX42" i="7"/>
  <c r="IY42" i="7"/>
  <c r="IZ42" i="7"/>
  <c r="JA42" i="7"/>
  <c r="JB42" i="7"/>
  <c r="JC42" i="7"/>
  <c r="JD42" i="7"/>
  <c r="JE42" i="7"/>
  <c r="JF42" i="7"/>
  <c r="JG42" i="7"/>
  <c r="JH42" i="7"/>
  <c r="JI42" i="7"/>
  <c r="JJ42" i="7"/>
  <c r="JK42" i="7"/>
  <c r="JL42" i="7"/>
  <c r="JM42" i="7"/>
  <c r="JN42" i="7"/>
  <c r="JO42" i="7"/>
  <c r="JP42" i="7"/>
  <c r="JQ42" i="7"/>
  <c r="JR42" i="7"/>
  <c r="JS42" i="7"/>
  <c r="JT42" i="7"/>
  <c r="JU42" i="7"/>
  <c r="JV42" i="7"/>
  <c r="JW42" i="7"/>
  <c r="JX42" i="7"/>
  <c r="JY42" i="7"/>
  <c r="JZ42" i="7"/>
  <c r="KA42" i="7"/>
  <c r="KB42" i="7"/>
  <c r="KC42" i="7"/>
  <c r="KD42" i="7"/>
  <c r="KE42" i="7"/>
  <c r="KF42" i="7"/>
  <c r="KG42" i="7"/>
  <c r="KH42" i="7"/>
  <c r="KI42" i="7"/>
  <c r="KJ42" i="7"/>
  <c r="KK42" i="7"/>
  <c r="KL42" i="7"/>
  <c r="KM42" i="7"/>
  <c r="KN42" i="7"/>
  <c r="KO42" i="7"/>
  <c r="C43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V43" i="7"/>
  <c r="W43" i="7"/>
  <c r="X43" i="7"/>
  <c r="Y43" i="7"/>
  <c r="Z43" i="7"/>
  <c r="AA43" i="7"/>
  <c r="AB43" i="7"/>
  <c r="AC43" i="7"/>
  <c r="AD43" i="7"/>
  <c r="AE43" i="7"/>
  <c r="AF43" i="7"/>
  <c r="AG43" i="7"/>
  <c r="AH43" i="7"/>
  <c r="AI43" i="7"/>
  <c r="AJ43" i="7"/>
  <c r="AK43" i="7"/>
  <c r="AL43" i="7"/>
  <c r="AM43" i="7"/>
  <c r="AN43" i="7"/>
  <c r="AO43" i="7"/>
  <c r="AP43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BZ43" i="7"/>
  <c r="CA43" i="7"/>
  <c r="CB43" i="7"/>
  <c r="CC43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M43" i="7"/>
  <c r="DN43" i="7"/>
  <c r="DO43" i="7"/>
  <c r="DP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FA43" i="7"/>
  <c r="FB43" i="7"/>
  <c r="FC43" i="7"/>
  <c r="FD43" i="7"/>
  <c r="FE43" i="7"/>
  <c r="FF43" i="7"/>
  <c r="FG43" i="7"/>
  <c r="FH43" i="7"/>
  <c r="FI43" i="7"/>
  <c r="FJ43" i="7"/>
  <c r="FK43" i="7"/>
  <c r="FL43" i="7"/>
  <c r="FM43" i="7"/>
  <c r="FN43" i="7"/>
  <c r="FO43" i="7"/>
  <c r="FP43" i="7"/>
  <c r="FQ43" i="7"/>
  <c r="FR43" i="7"/>
  <c r="FS43" i="7"/>
  <c r="FT43" i="7"/>
  <c r="FU43" i="7"/>
  <c r="FV43" i="7"/>
  <c r="FW43" i="7"/>
  <c r="FX43" i="7"/>
  <c r="FY43" i="7"/>
  <c r="FZ43" i="7"/>
  <c r="GA43" i="7"/>
  <c r="GB43" i="7"/>
  <c r="GC43" i="7"/>
  <c r="GD43" i="7"/>
  <c r="GE43" i="7"/>
  <c r="GF43" i="7"/>
  <c r="GG43" i="7"/>
  <c r="GH43" i="7"/>
  <c r="GI43" i="7"/>
  <c r="GJ43" i="7"/>
  <c r="GK43" i="7"/>
  <c r="GL43" i="7"/>
  <c r="GM43" i="7"/>
  <c r="GN43" i="7"/>
  <c r="GO43" i="7"/>
  <c r="GP43" i="7"/>
  <c r="GQ43" i="7"/>
  <c r="GR43" i="7"/>
  <c r="GS43" i="7"/>
  <c r="GT43" i="7"/>
  <c r="GU43" i="7"/>
  <c r="GV43" i="7"/>
  <c r="GW43" i="7"/>
  <c r="GX43" i="7"/>
  <c r="GY43" i="7"/>
  <c r="GZ43" i="7"/>
  <c r="HA43" i="7"/>
  <c r="HB43" i="7"/>
  <c r="HC43" i="7"/>
  <c r="HD43" i="7"/>
  <c r="HE43" i="7"/>
  <c r="HF43" i="7"/>
  <c r="HG43" i="7"/>
  <c r="HH43" i="7"/>
  <c r="HI43" i="7"/>
  <c r="HJ43" i="7"/>
  <c r="HK43" i="7"/>
  <c r="HL43" i="7"/>
  <c r="HM43" i="7"/>
  <c r="HN43" i="7"/>
  <c r="HO43" i="7"/>
  <c r="HP43" i="7"/>
  <c r="HQ43" i="7"/>
  <c r="HR43" i="7"/>
  <c r="HS43" i="7"/>
  <c r="HT43" i="7"/>
  <c r="HU43" i="7"/>
  <c r="HV43" i="7"/>
  <c r="HW43" i="7"/>
  <c r="HX43" i="7"/>
  <c r="HY43" i="7"/>
  <c r="HZ43" i="7"/>
  <c r="IA43" i="7"/>
  <c r="IB43" i="7"/>
  <c r="IC43" i="7"/>
  <c r="ID43" i="7"/>
  <c r="IE43" i="7"/>
  <c r="IF43" i="7"/>
  <c r="IG43" i="7"/>
  <c r="IH43" i="7"/>
  <c r="II43" i="7"/>
  <c r="IJ43" i="7"/>
  <c r="IK43" i="7"/>
  <c r="IL43" i="7"/>
  <c r="IM43" i="7"/>
  <c r="IN43" i="7"/>
  <c r="IO43" i="7"/>
  <c r="IP43" i="7"/>
  <c r="IQ43" i="7"/>
  <c r="IR43" i="7"/>
  <c r="IS43" i="7"/>
  <c r="IT43" i="7"/>
  <c r="IU43" i="7"/>
  <c r="IV43" i="7"/>
  <c r="IW43" i="7"/>
  <c r="IX43" i="7"/>
  <c r="IY43" i="7"/>
  <c r="IZ43" i="7"/>
  <c r="JA43" i="7"/>
  <c r="JB43" i="7"/>
  <c r="JC43" i="7"/>
  <c r="JD43" i="7"/>
  <c r="JE43" i="7"/>
  <c r="JF43" i="7"/>
  <c r="JG43" i="7"/>
  <c r="JH43" i="7"/>
  <c r="JI43" i="7"/>
  <c r="JJ43" i="7"/>
  <c r="JK43" i="7"/>
  <c r="JL43" i="7"/>
  <c r="JM43" i="7"/>
  <c r="JN43" i="7"/>
  <c r="JO43" i="7"/>
  <c r="JP43" i="7"/>
  <c r="JQ43" i="7"/>
  <c r="JR43" i="7"/>
  <c r="JS43" i="7"/>
  <c r="JT43" i="7"/>
  <c r="JU43" i="7"/>
  <c r="JV43" i="7"/>
  <c r="JW43" i="7"/>
  <c r="JX43" i="7"/>
  <c r="JY43" i="7"/>
  <c r="JZ43" i="7"/>
  <c r="KA43" i="7"/>
  <c r="KB43" i="7"/>
  <c r="KC43" i="7"/>
  <c r="KD43" i="7"/>
  <c r="KE43" i="7"/>
  <c r="KF43" i="7"/>
  <c r="KG43" i="7"/>
  <c r="KH43" i="7"/>
  <c r="KI43" i="7"/>
  <c r="KJ43" i="7"/>
  <c r="KK43" i="7"/>
  <c r="KL43" i="7"/>
  <c r="KM43" i="7"/>
  <c r="KN43" i="7"/>
  <c r="KO43" i="7"/>
  <c r="B16" i="7"/>
  <c r="B26" i="7"/>
  <c r="B27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C6" i="10"/>
  <c r="C40" i="10"/>
  <c r="C5" i="10"/>
  <c r="C7" i="10"/>
  <c r="B9" i="10"/>
  <c r="D40" i="10"/>
  <c r="F40" i="10"/>
  <c r="E40" i="10"/>
  <c r="C39" i="10"/>
  <c r="D39" i="10"/>
  <c r="F39" i="10"/>
  <c r="E39" i="10"/>
  <c r="C38" i="10"/>
  <c r="D38" i="10"/>
  <c r="F38" i="10"/>
  <c r="E38" i="10"/>
  <c r="C37" i="10"/>
  <c r="D37" i="10"/>
  <c r="F37" i="10"/>
  <c r="E37" i="10"/>
  <c r="C36" i="10"/>
  <c r="D36" i="10"/>
  <c r="F36" i="10"/>
  <c r="E36" i="10"/>
  <c r="C35" i="10"/>
  <c r="D35" i="10"/>
  <c r="F35" i="10"/>
  <c r="E35" i="10"/>
  <c r="C34" i="10"/>
  <c r="D34" i="10"/>
  <c r="F34" i="10"/>
  <c r="E34" i="10"/>
  <c r="C33" i="10"/>
  <c r="D33" i="10"/>
  <c r="F33" i="10"/>
  <c r="E33" i="10"/>
  <c r="C32" i="10"/>
  <c r="D32" i="10"/>
  <c r="F32" i="10"/>
  <c r="E32" i="10"/>
  <c r="C31" i="10"/>
  <c r="D31" i="10"/>
  <c r="F31" i="10"/>
  <c r="E31" i="10"/>
  <c r="C30" i="10"/>
  <c r="D30" i="10"/>
  <c r="F30" i="10"/>
  <c r="E30" i="10"/>
  <c r="C29" i="10"/>
  <c r="D29" i="10"/>
  <c r="F29" i="10"/>
  <c r="E29" i="10"/>
  <c r="C28" i="10"/>
  <c r="D28" i="10"/>
  <c r="F28" i="10"/>
  <c r="E28" i="10"/>
  <c r="C27" i="10"/>
  <c r="D27" i="10"/>
  <c r="F27" i="10"/>
  <c r="E27" i="10"/>
  <c r="C26" i="10"/>
  <c r="D26" i="10"/>
  <c r="F26" i="10"/>
  <c r="E26" i="10"/>
  <c r="C25" i="10"/>
  <c r="D25" i="10"/>
  <c r="F25" i="10"/>
  <c r="E25" i="10"/>
  <c r="C24" i="10"/>
  <c r="D24" i="10"/>
  <c r="F24" i="10"/>
  <c r="E24" i="10"/>
  <c r="C23" i="10"/>
  <c r="D23" i="10"/>
  <c r="F23" i="10"/>
  <c r="E23" i="10"/>
  <c r="C22" i="10"/>
  <c r="D22" i="10"/>
  <c r="F22" i="10"/>
  <c r="E22" i="10"/>
  <c r="C21" i="10"/>
  <c r="D21" i="10"/>
  <c r="F21" i="10"/>
  <c r="E21" i="10"/>
  <c r="C20" i="10"/>
  <c r="D20" i="10"/>
  <c r="F20" i="10"/>
  <c r="E20" i="10"/>
  <c r="C19" i="10"/>
  <c r="D19" i="10"/>
  <c r="F19" i="10"/>
  <c r="E19" i="10"/>
  <c r="C18" i="10"/>
  <c r="D18" i="10"/>
  <c r="F18" i="10"/>
  <c r="E18" i="10"/>
  <c r="C17" i="10"/>
  <c r="D17" i="10"/>
  <c r="F17" i="10"/>
  <c r="E17" i="10"/>
  <c r="C16" i="10"/>
  <c r="D16" i="10"/>
  <c r="F16" i="10"/>
  <c r="E16" i="10"/>
  <c r="C15" i="10"/>
  <c r="D15" i="10"/>
  <c r="F15" i="10"/>
  <c r="E15" i="10"/>
  <c r="C14" i="10"/>
  <c r="D14" i="10"/>
  <c r="F14" i="10"/>
  <c r="E14" i="10"/>
  <c r="C13" i="10"/>
  <c r="D13" i="10"/>
  <c r="F13" i="10"/>
  <c r="E13" i="10"/>
  <c r="C12" i="10"/>
  <c r="D12" i="10"/>
  <c r="F12" i="10"/>
  <c r="E12" i="10"/>
  <c r="C11" i="10"/>
  <c r="D11" i="10"/>
  <c r="F11" i="10"/>
  <c r="E11" i="10"/>
  <c r="B1" i="3"/>
  <c r="B3" i="3"/>
  <c r="F4" i="10"/>
  <c r="F2" i="10"/>
  <c r="F5" i="10"/>
  <c r="F3" i="10"/>
  <c r="D19" i="9"/>
  <c r="C12" i="9"/>
  <c r="D12" i="9"/>
  <c r="C13" i="9"/>
  <c r="D13" i="9"/>
  <c r="C14" i="9"/>
  <c r="D14" i="9"/>
  <c r="C15" i="9"/>
  <c r="D15" i="9"/>
  <c r="C16" i="9"/>
  <c r="D16" i="9"/>
  <c r="C17" i="9"/>
  <c r="D17" i="9"/>
  <c r="C18" i="9"/>
  <c r="D18" i="9"/>
  <c r="C19" i="9"/>
  <c r="C20" i="9"/>
  <c r="D20" i="9"/>
  <c r="C21" i="9"/>
  <c r="D21" i="9"/>
  <c r="D3" i="9"/>
  <c r="D4" i="9"/>
  <c r="D5" i="9"/>
  <c r="D6" i="9"/>
  <c r="D7" i="9"/>
  <c r="D8" i="9"/>
  <c r="D9" i="9"/>
  <c r="D10" i="9"/>
  <c r="D11" i="9"/>
  <c r="D2" i="9"/>
  <c r="C4" i="9"/>
  <c r="C5" i="9"/>
  <c r="C6" i="9"/>
  <c r="C7" i="9"/>
  <c r="C8" i="9"/>
  <c r="C9" i="9"/>
  <c r="C10" i="9"/>
  <c r="C11" i="9"/>
  <c r="C3" i="9"/>
  <c r="C2" i="9"/>
  <c r="B29" i="7"/>
  <c r="D8" i="8"/>
  <c r="D7" i="8"/>
  <c r="E8" i="8"/>
  <c r="D9" i="8"/>
  <c r="E9" i="8"/>
  <c r="D10" i="8"/>
  <c r="E10" i="8"/>
  <c r="D11" i="8"/>
  <c r="E11" i="8"/>
  <c r="D12" i="8"/>
  <c r="E12" i="8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E7" i="8"/>
  <c r="B1" i="8"/>
  <c r="A6" i="8"/>
  <c r="B2" i="8"/>
  <c r="A54" i="7"/>
  <c r="A55" i="7"/>
  <c r="A56" i="7"/>
  <c r="A57" i="7"/>
  <c r="A58" i="7"/>
  <c r="A59" i="7"/>
  <c r="A53" i="7"/>
  <c r="A52" i="7"/>
  <c r="A51" i="7"/>
  <c r="A50" i="7"/>
  <c r="A49" i="7"/>
  <c r="B54" i="7"/>
  <c r="B55" i="7"/>
  <c r="B56" i="7"/>
  <c r="B57" i="7"/>
  <c r="B58" i="7"/>
  <c r="B59" i="7"/>
  <c r="B50" i="7"/>
  <c r="B51" i="7"/>
  <c r="B52" i="7"/>
  <c r="B53" i="7"/>
  <c r="B49" i="7"/>
  <c r="E11" i="6"/>
  <c r="E15" i="6"/>
  <c r="E7" i="6"/>
  <c r="B14" i="6"/>
  <c r="B6" i="6"/>
  <c r="E7" i="5"/>
  <c r="E8" i="5"/>
  <c r="E9" i="5"/>
  <c r="E10" i="5"/>
  <c r="E11" i="5"/>
  <c r="E12" i="5"/>
  <c r="E13" i="5"/>
  <c r="E14" i="5"/>
  <c r="E15" i="5"/>
  <c r="H7" i="5"/>
  <c r="F8" i="5"/>
  <c r="G8" i="5"/>
  <c r="H8" i="5"/>
  <c r="F9" i="5"/>
  <c r="G9" i="5"/>
  <c r="H9" i="5"/>
  <c r="F10" i="5"/>
  <c r="G10" i="5"/>
  <c r="H10" i="5"/>
  <c r="F11" i="5"/>
  <c r="G11" i="5"/>
  <c r="H11" i="5"/>
  <c r="F12" i="5"/>
  <c r="G12" i="5"/>
  <c r="H12" i="5"/>
  <c r="F13" i="5"/>
  <c r="G13" i="5"/>
  <c r="H13" i="5"/>
  <c r="F14" i="5"/>
  <c r="G14" i="5"/>
  <c r="H14" i="5"/>
  <c r="F15" i="5"/>
  <c r="G15" i="5"/>
  <c r="H15" i="5"/>
  <c r="B153" i="1"/>
  <c r="C153" i="1"/>
  <c r="B154" i="1"/>
  <c r="C154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C5" i="1"/>
  <c r="C6" i="1"/>
  <c r="C7" i="1"/>
  <c r="C8" i="1"/>
  <c r="C9" i="1"/>
  <c r="C10" i="1"/>
  <c r="C11" i="1"/>
  <c r="C12" i="1"/>
  <c r="C13" i="1"/>
  <c r="C14" i="1"/>
  <c r="C4" i="1"/>
  <c r="B7" i="1"/>
  <c r="B8" i="1"/>
  <c r="B9" i="1"/>
  <c r="B10" i="1"/>
  <c r="B11" i="1"/>
  <c r="B12" i="1"/>
  <c r="B13" i="1"/>
  <c r="B14" i="1"/>
  <c r="B6" i="1"/>
  <c r="B5" i="1"/>
  <c r="B4" i="1"/>
</calcChain>
</file>

<file path=xl/sharedStrings.xml><?xml version="1.0" encoding="utf-8"?>
<sst xmlns="http://schemas.openxmlformats.org/spreadsheetml/2006/main" count="108" uniqueCount="88">
  <si>
    <t>intérêt simple</t>
  </si>
  <si>
    <t>temps (année)</t>
  </si>
  <si>
    <t>intérêt composé</t>
  </si>
  <si>
    <t>intérêt</t>
  </si>
  <si>
    <t>Montant emprunté</t>
  </si>
  <si>
    <t>Principal Repaid</t>
  </si>
  <si>
    <t>Coupon rate</t>
  </si>
  <si>
    <t>number of coupon</t>
  </si>
  <si>
    <t>Reimbursement value</t>
  </si>
  <si>
    <t>Nominal Value</t>
  </si>
  <si>
    <t>Yield</t>
  </si>
  <si>
    <t>payment</t>
  </si>
  <si>
    <t>interest</t>
  </si>
  <si>
    <t>Outstanding Balance</t>
  </si>
  <si>
    <t>period</t>
  </si>
  <si>
    <t>Paiement de…</t>
  </si>
  <si>
    <t>payé le …</t>
  </si>
  <si>
    <t xml:space="preserve">Date à laquelle on veut actualiser : </t>
  </si>
  <si>
    <t xml:space="preserve">Valeur : </t>
  </si>
  <si>
    <t>Paiement de …</t>
  </si>
  <si>
    <t>Payé le …</t>
  </si>
  <si>
    <t xml:space="preserve">Date à laquelle on veut accumuler : </t>
  </si>
  <si>
    <t>Accumuler un seul paiement</t>
  </si>
  <si>
    <t>Actualiser un seul paiement</t>
  </si>
  <si>
    <t>Montant des paiements</t>
  </si>
  <si>
    <t>date à laquelle on veut actualiser</t>
  </si>
  <si>
    <t>premier paiement le</t>
  </si>
  <si>
    <t>nombre de paiements</t>
  </si>
  <si>
    <t>taux d'intérêts</t>
  </si>
  <si>
    <t>Actualiser une série de paiements constants</t>
  </si>
  <si>
    <t>date à laquelle on veut accumuler</t>
  </si>
  <si>
    <t>Périodes de remboursement</t>
  </si>
  <si>
    <t>Montant remboursé/période</t>
  </si>
  <si>
    <t>WACC</t>
  </si>
  <si>
    <t>Free Cash-flow</t>
  </si>
  <si>
    <t>Year (period)</t>
  </si>
  <si>
    <t>Total</t>
  </si>
  <si>
    <t>Present value</t>
  </si>
  <si>
    <t>Revenue (A_t)</t>
  </si>
  <si>
    <t>Expenses (B_t)</t>
  </si>
  <si>
    <t>Net Present Value Calculation</t>
  </si>
  <si>
    <t>NPV</t>
  </si>
  <si>
    <t>Yield(%)</t>
  </si>
  <si>
    <t>Interest rate</t>
  </si>
  <si>
    <t>Payment</t>
  </si>
  <si>
    <t>Time</t>
  </si>
  <si>
    <t>Interest paid</t>
  </si>
  <si>
    <t>début</t>
  </si>
  <si>
    <t>fin</t>
  </si>
  <si>
    <t>Date</t>
  </si>
  <si>
    <t>Fund value</t>
  </si>
  <si>
    <t>Deposit/Withdrawal</t>
  </si>
  <si>
    <t>Fund Value</t>
  </si>
  <si>
    <t>After</t>
  </si>
  <si>
    <t>Before</t>
  </si>
  <si>
    <t>return</t>
  </si>
  <si>
    <t>Time-Weighted</t>
  </si>
  <si>
    <t>Dollar-Weighted</t>
  </si>
  <si>
    <t>year</t>
  </si>
  <si>
    <t>Spot rate</t>
  </si>
  <si>
    <t>Foward Rate</t>
  </si>
  <si>
    <t>ZC bond price (100$)</t>
  </si>
  <si>
    <t>Bond Price</t>
  </si>
  <si>
    <t>Accumuler une série de paiements constants</t>
  </si>
  <si>
    <t>taux d'intérêt effectif quotidien</t>
  </si>
  <si>
    <t>Bond Caracteristics</t>
  </si>
  <si>
    <t>Par Value</t>
  </si>
  <si>
    <t>YTM</t>
  </si>
  <si>
    <t>Coupon Frequency</t>
  </si>
  <si>
    <t>Maturity (years)</t>
  </si>
  <si>
    <t>Cash-flow</t>
  </si>
  <si>
    <t>PV</t>
  </si>
  <si>
    <t>Weight</t>
  </si>
  <si>
    <t>Price</t>
  </si>
  <si>
    <t>Duration</t>
  </si>
  <si>
    <t>Time x weight</t>
  </si>
  <si>
    <t>time^2 x weight</t>
  </si>
  <si>
    <t>Convexity</t>
  </si>
  <si>
    <t>Risk Management tools</t>
  </si>
  <si>
    <t>Modified Duration</t>
  </si>
  <si>
    <t>Modified Convexity</t>
  </si>
  <si>
    <t>Calculations</t>
  </si>
  <si>
    <t>Semi-Annual</t>
  </si>
  <si>
    <t>Capital</t>
  </si>
  <si>
    <t>Calculs</t>
  </si>
  <si>
    <t>time</t>
  </si>
  <si>
    <t>Asset cash-flow</t>
  </si>
  <si>
    <t>Liabilities cash-flow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</si>
</sst>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0.0000%"/>
    <numFmt numFmtId="165" formatCode="0.000%"/>
    <numFmt numFmtId="166" formatCode="0.00000"/>
    <numFmt numFmtId="167" formatCode="_ * #,##0.0000000000_)\ &quot;$&quot;_ ;_ * \(#,##0.0000000000\)\ &quot;$&quot;_ ;_ * &quot;-&quot;??_)\ &quot;$&quot;_ ;_ @_ "/>
    <numFmt numFmtId="172" formatCode="_ * #,##0.0000000_)\ &quot;$&quot;_ ;_ * \(#,##0.0000000\)\ &quot;$&quot;_ ;_ * &quot;-&quot;??_)\ &quot;$&quot;_ ;_ @_ "/>
  </numFmts>
  <fonts count="1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1"/>
      <color theme="1"/>
      <name val="Calibri"/>
      <scheme val="minor"/>
    </font>
    <font>
      <sz val="12"/>
      <color theme="2" tint="-0.74999237037263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6">
    <xf numFmtId="0" fontId="0" fillId="0" borderId="0" xfId="0"/>
    <xf numFmtId="9" fontId="0" fillId="2" borderId="0" xfId="0" applyNumberFormat="1" applyFill="1"/>
    <xf numFmtId="44" fontId="0" fillId="0" borderId="1" xfId="1" applyFont="1" applyBorder="1"/>
    <xf numFmtId="0" fontId="0" fillId="5" borderId="1" xfId="0" applyFill="1" applyBorder="1"/>
    <xf numFmtId="9" fontId="0" fillId="0" borderId="0" xfId="2" applyFont="1"/>
    <xf numFmtId="44" fontId="0" fillId="0" borderId="0" xfId="1" applyFont="1"/>
    <xf numFmtId="9" fontId="0" fillId="0" borderId="0" xfId="0" applyNumberFormat="1"/>
    <xf numFmtId="0" fontId="0" fillId="0" borderId="0" xfId="0" applyNumberFormat="1"/>
    <xf numFmtId="0" fontId="4" fillId="0" borderId="0" xfId="0" applyFont="1" applyAlignment="1">
      <alignment horizontal="center"/>
    </xf>
    <xf numFmtId="14" fontId="0" fillId="0" borderId="0" xfId="0" applyNumberFormat="1"/>
    <xf numFmtId="16" fontId="0" fillId="0" borderId="0" xfId="0" applyNumberFormat="1"/>
    <xf numFmtId="44" fontId="0" fillId="5" borderId="4" xfId="1" applyFont="1" applyFill="1" applyBorder="1"/>
    <xf numFmtId="16" fontId="0" fillId="5" borderId="6" xfId="1" applyNumberFormat="1" applyFont="1" applyFill="1" applyBorder="1"/>
    <xf numFmtId="14" fontId="0" fillId="5" borderId="6" xfId="0" applyNumberFormat="1" applyFill="1" applyBorder="1"/>
    <xf numFmtId="164" fontId="0" fillId="5" borderId="6" xfId="2" applyNumberFormat="1" applyFont="1" applyFill="1" applyBorder="1"/>
    <xf numFmtId="44" fontId="5" fillId="4" borderId="8" xfId="1" applyFont="1" applyFill="1" applyBorder="1"/>
    <xf numFmtId="0" fontId="0" fillId="6" borderId="3" xfId="0" applyFill="1" applyBorder="1"/>
    <xf numFmtId="0" fontId="0" fillId="6" borderId="5" xfId="0" applyFill="1" applyBorder="1"/>
    <xf numFmtId="0" fontId="0" fillId="6" borderId="7" xfId="0" applyFill="1" applyBorder="1"/>
    <xf numFmtId="44" fontId="0" fillId="7" borderId="6" xfId="1" applyFont="1" applyFill="1" applyBorder="1"/>
    <xf numFmtId="14" fontId="0" fillId="7" borderId="6" xfId="0" applyNumberFormat="1" applyFill="1" applyBorder="1"/>
    <xf numFmtId="0" fontId="0" fillId="7" borderId="6" xfId="0" applyFill="1" applyBorder="1"/>
    <xf numFmtId="165" fontId="0" fillId="7" borderId="6" xfId="2" applyNumberFormat="1" applyFont="1" applyFill="1" applyBorder="1"/>
    <xf numFmtId="44" fontId="0" fillId="8" borderId="8" xfId="1" applyFont="1" applyFill="1" applyBorder="1"/>
    <xf numFmtId="0" fontId="0" fillId="6" borderId="13" xfId="0" applyFill="1" applyBorder="1"/>
    <xf numFmtId="44" fontId="0" fillId="6" borderId="0" xfId="1" applyFont="1" applyFill="1"/>
    <xf numFmtId="0" fontId="0" fillId="6" borderId="0" xfId="0" applyFill="1"/>
    <xf numFmtId="0" fontId="0" fillId="6" borderId="1" xfId="0" applyFill="1" applyBorder="1"/>
    <xf numFmtId="0" fontId="6" fillId="0" borderId="0" xfId="0" applyFont="1"/>
    <xf numFmtId="44" fontId="6" fillId="0" borderId="0" xfId="1" applyFont="1"/>
    <xf numFmtId="0" fontId="0" fillId="9" borderId="13" xfId="0" applyFill="1" applyBorder="1"/>
    <xf numFmtId="44" fontId="0" fillId="10" borderId="12" xfId="1" applyFont="1" applyFill="1" applyBorder="1"/>
    <xf numFmtId="0" fontId="0" fillId="10" borderId="12" xfId="0" applyFill="1" applyBorder="1"/>
    <xf numFmtId="165" fontId="0" fillId="12" borderId="0" xfId="0" applyNumberFormat="1" applyFill="1"/>
    <xf numFmtId="0" fontId="6" fillId="13" borderId="0" xfId="0" applyFont="1" applyFill="1"/>
    <xf numFmtId="0" fontId="5" fillId="14" borderId="14" xfId="0" applyFont="1" applyFill="1" applyBorder="1"/>
    <xf numFmtId="0" fontId="0" fillId="7" borderId="14" xfId="0" applyFill="1" applyBorder="1"/>
    <xf numFmtId="0" fontId="0" fillId="8" borderId="1" xfId="0" applyFill="1" applyBorder="1"/>
    <xf numFmtId="0" fontId="5" fillId="15" borderId="14" xfId="0" applyFont="1" applyFill="1" applyBorder="1"/>
    <xf numFmtId="0" fontId="8" fillId="5" borderId="14" xfId="0" applyFont="1" applyFill="1" applyBorder="1"/>
    <xf numFmtId="0" fontId="0" fillId="4" borderId="1" xfId="0" applyFill="1" applyBorder="1"/>
    <xf numFmtId="0" fontId="5" fillId="16" borderId="15" xfId="0" applyFont="1" applyFill="1" applyBorder="1"/>
    <xf numFmtId="0" fontId="0" fillId="11" borderId="1" xfId="0" applyFill="1" applyBorder="1" applyAlignment="1">
      <alignment horizontal="center" vertical="center"/>
    </xf>
    <xf numFmtId="0" fontId="0" fillId="13" borderId="13" xfId="0" applyFill="1" applyBorder="1" applyAlignment="1">
      <alignment horizontal="center" vertical="center"/>
    </xf>
    <xf numFmtId="44" fontId="0" fillId="7" borderId="13" xfId="1" applyFont="1" applyFill="1" applyBorder="1"/>
    <xf numFmtId="44" fontId="0" fillId="5" borderId="13" xfId="1" applyFont="1" applyFill="1" applyBorder="1"/>
    <xf numFmtId="9" fontId="0" fillId="6" borderId="0" xfId="2" applyFont="1" applyFill="1"/>
    <xf numFmtId="9" fontId="0" fillId="6" borderId="0" xfId="0" applyNumberFormat="1" applyFill="1"/>
    <xf numFmtId="44" fontId="0" fillId="6" borderId="0" xfId="0" applyNumberFormat="1" applyFill="1"/>
    <xf numFmtId="0" fontId="0" fillId="0" borderId="1" xfId="0" applyBorder="1"/>
    <xf numFmtId="164" fontId="0" fillId="0" borderId="1" xfId="2" applyNumberFormat="1" applyFont="1" applyBorder="1"/>
    <xf numFmtId="165" fontId="0" fillId="6" borderId="0" xfId="2" applyNumberFormat="1" applyFont="1" applyFill="1"/>
    <xf numFmtId="165" fontId="0" fillId="6" borderId="1" xfId="2" applyNumberFormat="1" applyFont="1" applyFill="1" applyBorder="1"/>
    <xf numFmtId="44" fontId="0" fillId="6" borderId="1" xfId="1" applyFont="1" applyFill="1" applyBorder="1"/>
    <xf numFmtId="0" fontId="5" fillId="6" borderId="1" xfId="0" applyFont="1" applyFill="1" applyBorder="1" applyAlignment="1">
      <alignment horizontal="center"/>
    </xf>
    <xf numFmtId="14" fontId="0" fillId="0" borderId="1" xfId="0" applyNumberFormat="1" applyBorder="1"/>
    <xf numFmtId="15" fontId="0" fillId="0" borderId="0" xfId="0" applyNumberFormat="1"/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center"/>
    </xf>
    <xf numFmtId="0" fontId="0" fillId="17" borderId="0" xfId="0" applyFill="1"/>
    <xf numFmtId="0" fontId="0" fillId="0" borderId="0" xfId="0" applyAlignment="1"/>
    <xf numFmtId="44" fontId="0" fillId="0" borderId="0" xfId="2" applyNumberFormat="1" applyFont="1"/>
    <xf numFmtId="10" fontId="0" fillId="0" borderId="0" xfId="2" applyNumberFormat="1" applyFont="1"/>
    <xf numFmtId="0" fontId="0" fillId="0" borderId="0" xfId="0" applyBorder="1"/>
    <xf numFmtId="14" fontId="0" fillId="0" borderId="0" xfId="0" applyNumberFormat="1" applyBorder="1"/>
    <xf numFmtId="164" fontId="0" fillId="0" borderId="0" xfId="2" applyNumberFormat="1" applyFont="1"/>
    <xf numFmtId="44" fontId="0" fillId="0" borderId="17" xfId="1" applyFont="1" applyBorder="1"/>
    <xf numFmtId="44" fontId="0" fillId="0" borderId="18" xfId="1" applyFont="1" applyBorder="1"/>
    <xf numFmtId="164" fontId="0" fillId="0" borderId="22" xfId="2" applyNumberFormat="1" applyFont="1" applyBorder="1"/>
    <xf numFmtId="164" fontId="0" fillId="0" borderId="23" xfId="2" applyNumberFormat="1" applyFont="1" applyBorder="1"/>
    <xf numFmtId="164" fontId="0" fillId="0" borderId="24" xfId="2" applyNumberFormat="1" applyFont="1" applyBorder="1"/>
    <xf numFmtId="164" fontId="0" fillId="0" borderId="14" xfId="2" applyNumberFormat="1" applyFont="1" applyBorder="1"/>
    <xf numFmtId="164" fontId="0" fillId="0" borderId="26" xfId="2" applyNumberFormat="1" applyFont="1" applyBorder="1"/>
    <xf numFmtId="0" fontId="5" fillId="0" borderId="16" xfId="0" applyFont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left"/>
    </xf>
    <xf numFmtId="0" fontId="5" fillId="2" borderId="11" xfId="0" applyFont="1" applyFill="1" applyBorder="1" applyAlignment="1">
      <alignment horizontal="center"/>
    </xf>
    <xf numFmtId="0" fontId="5" fillId="16" borderId="11" xfId="0" applyFont="1" applyFill="1" applyBorder="1" applyAlignment="1">
      <alignment horizontal="center"/>
    </xf>
    <xf numFmtId="0" fontId="5" fillId="11" borderId="3" xfId="0" applyFont="1" applyFill="1" applyBorder="1"/>
    <xf numFmtId="0" fontId="0" fillId="11" borderId="4" xfId="0" applyFill="1" applyBorder="1"/>
    <xf numFmtId="0" fontId="5" fillId="11" borderId="9" xfId="0" applyFont="1" applyFill="1" applyBorder="1"/>
    <xf numFmtId="0" fontId="0" fillId="11" borderId="2" xfId="0" applyFill="1" applyBorder="1"/>
    <xf numFmtId="0" fontId="5" fillId="18" borderId="9" xfId="0" applyFont="1" applyFill="1" applyBorder="1"/>
    <xf numFmtId="0" fontId="0" fillId="18" borderId="2" xfId="0" applyFill="1" applyBorder="1"/>
    <xf numFmtId="0" fontId="5" fillId="18" borderId="3" xfId="0" applyFont="1" applyFill="1" applyBorder="1"/>
    <xf numFmtId="0" fontId="0" fillId="18" borderId="4" xfId="0" applyFill="1" applyBorder="1"/>
    <xf numFmtId="0" fontId="0" fillId="2" borderId="10" xfId="0" applyFill="1" applyBorder="1"/>
    <xf numFmtId="164" fontId="0" fillId="6" borderId="11" xfId="2" applyNumberFormat="1" applyFont="1" applyFill="1" applyBorder="1"/>
    <xf numFmtId="165" fontId="8" fillId="6" borderId="0" xfId="0" applyNumberFormat="1" applyFont="1" applyFill="1"/>
    <xf numFmtId="44" fontId="6" fillId="6" borderId="0" xfId="1" applyFont="1" applyFill="1"/>
    <xf numFmtId="0" fontId="7" fillId="0" borderId="1" xfId="0" applyFont="1" applyBorder="1" applyAlignment="1">
      <alignment horizontal="center" vertical="center"/>
    </xf>
    <xf numFmtId="165" fontId="0" fillId="0" borderId="1" xfId="2" applyNumberFormat="1" applyFont="1" applyBorder="1" applyAlignment="1">
      <alignment horizontal="right"/>
    </xf>
    <xf numFmtId="44" fontId="0" fillId="0" borderId="1" xfId="0" applyNumberFormat="1" applyBorder="1"/>
    <xf numFmtId="0" fontId="4" fillId="0" borderId="0" xfId="0" applyFont="1"/>
    <xf numFmtId="9" fontId="0" fillId="2" borderId="19" xfId="0" applyNumberFormat="1" applyFill="1" applyBorder="1"/>
    <xf numFmtId="0" fontId="0" fillId="2" borderId="20" xfId="0" applyFill="1" applyBorder="1"/>
    <xf numFmtId="0" fontId="12" fillId="2" borderId="19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5" xfId="0" applyFont="1" applyBorder="1"/>
    <xf numFmtId="0" fontId="0" fillId="0" borderId="6" xfId="0" applyFont="1" applyBorder="1"/>
    <xf numFmtId="0" fontId="0" fillId="0" borderId="7" xfId="0" applyBorder="1"/>
    <xf numFmtId="0" fontId="0" fillId="0" borderId="28" xfId="0" applyBorder="1"/>
    <xf numFmtId="0" fontId="6" fillId="0" borderId="7" xfId="0" applyFont="1" applyBorder="1"/>
    <xf numFmtId="0" fontId="6" fillId="0" borderId="30" xfId="0" applyFont="1" applyBorder="1"/>
    <xf numFmtId="0" fontId="6" fillId="0" borderId="28" xfId="0" applyFont="1" applyBorder="1"/>
    <xf numFmtId="0" fontId="6" fillId="0" borderId="32" xfId="0" applyFont="1" applyBorder="1"/>
    <xf numFmtId="0" fontId="0" fillId="0" borderId="14" xfId="0" applyBorder="1"/>
    <xf numFmtId="0" fontId="5" fillId="0" borderId="14" xfId="0" applyFont="1" applyBorder="1"/>
    <xf numFmtId="0" fontId="0" fillId="0" borderId="32" xfId="0" applyBorder="1"/>
    <xf numFmtId="44" fontId="0" fillId="0" borderId="5" xfId="1" applyFont="1" applyBorder="1"/>
    <xf numFmtId="44" fontId="0" fillId="0" borderId="0" xfId="1" applyFont="1" applyBorder="1"/>
    <xf numFmtId="164" fontId="0" fillId="0" borderId="6" xfId="2" applyNumberFormat="1" applyFont="1" applyBorder="1"/>
    <xf numFmtId="0" fontId="0" fillId="0" borderId="30" xfId="0" applyBorder="1"/>
    <xf numFmtId="0" fontId="0" fillId="8" borderId="31" xfId="0" applyFont="1" applyFill="1" applyBorder="1"/>
    <xf numFmtId="0" fontId="4" fillId="6" borderId="0" xfId="0" applyFont="1" applyFill="1"/>
    <xf numFmtId="0" fontId="0" fillId="6" borderId="0" xfId="0" applyFill="1" applyBorder="1"/>
    <xf numFmtId="44" fontId="0" fillId="2" borderId="27" xfId="1" applyFont="1" applyFill="1" applyBorder="1"/>
    <xf numFmtId="44" fontId="0" fillId="2" borderId="19" xfId="1" applyFont="1" applyFill="1" applyBorder="1"/>
    <xf numFmtId="164" fontId="0" fillId="0" borderId="28" xfId="2" applyNumberFormat="1" applyFont="1" applyBorder="1"/>
    <xf numFmtId="166" fontId="0" fillId="9" borderId="1" xfId="0" applyNumberFormat="1" applyFill="1" applyBorder="1"/>
    <xf numFmtId="0" fontId="11" fillId="17" borderId="1" xfId="0" applyFont="1" applyFill="1" applyBorder="1"/>
    <xf numFmtId="165" fontId="13" fillId="19" borderId="4" xfId="2" applyNumberFormat="1" applyFont="1" applyFill="1" applyBorder="1"/>
    <xf numFmtId="165" fontId="13" fillId="19" borderId="6" xfId="2" applyNumberFormat="1" applyFont="1" applyFill="1" applyBorder="1"/>
    <xf numFmtId="0" fontId="13" fillId="19" borderId="28" xfId="2" applyNumberFormat="1" applyFont="1" applyFill="1" applyBorder="1"/>
    <xf numFmtId="7" fontId="0" fillId="0" borderId="5" xfId="1" applyNumberFormat="1" applyFont="1" applyBorder="1"/>
    <xf numFmtId="166" fontId="0" fillId="6" borderId="0" xfId="0" applyNumberFormat="1" applyFill="1"/>
    <xf numFmtId="0" fontId="6" fillId="2" borderId="0" xfId="0" applyFont="1" applyFill="1"/>
    <xf numFmtId="0" fontId="6" fillId="3" borderId="0" xfId="0" applyFont="1" applyFill="1"/>
    <xf numFmtId="0" fontId="3" fillId="4" borderId="1" xfId="0" applyFont="1" applyFill="1" applyBorder="1" applyAlignment="1">
      <alignment horizontal="center" wrapText="1"/>
    </xf>
    <xf numFmtId="44" fontId="0" fillId="3" borderId="0" xfId="1" applyFont="1" applyFill="1"/>
    <xf numFmtId="0" fontId="5" fillId="0" borderId="9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9" fillId="0" borderId="0" xfId="0" applyFont="1" applyAlignment="1">
      <alignment horizontal="center"/>
    </xf>
    <xf numFmtId="167" fontId="0" fillId="8" borderId="3" xfId="1" applyNumberFormat="1" applyFont="1" applyFill="1" applyBorder="1" applyAlignment="1">
      <alignment horizontal="center"/>
    </xf>
    <xf numFmtId="167" fontId="0" fillId="8" borderId="29" xfId="1" applyNumberFormat="1" applyFont="1" applyFill="1" applyBorder="1" applyAlignment="1">
      <alignment horizontal="center"/>
    </xf>
    <xf numFmtId="167" fontId="0" fillId="8" borderId="4" xfId="1" applyNumberFormat="1" applyFont="1" applyFill="1" applyBorder="1" applyAlignment="1">
      <alignment horizontal="center"/>
    </xf>
    <xf numFmtId="0" fontId="7" fillId="0" borderId="0" xfId="0" applyFont="1"/>
    <xf numFmtId="172" fontId="0" fillId="0" borderId="0" xfId="1" applyNumberFormat="1" applyFont="1"/>
    <xf numFmtId="0" fontId="7" fillId="0" borderId="0" xfId="0" applyFont="1" applyAlignment="1">
      <alignment horizontal="center"/>
    </xf>
  </cellXfs>
  <cellStyles count="3">
    <cellStyle name="Monétaire" xfId="1" builtinId="4"/>
    <cellStyle name="Normal" xfId="0" builtinId="0"/>
    <cellStyle name="Pourcentage" xfId="2" builtinId="5"/>
  </cellStyles>
  <dxfs count="2"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800"/>
              <a:t>Intérêt simple versus composé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Investment_Growth!$B$3</c:f>
              <c:strCache>
                <c:ptCount val="1"/>
                <c:pt idx="0">
                  <c:v>intérêt simple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Investment_Growth!$A$4:$A$154</c:f>
              <c:numCache>
                <c:formatCode>General</c:formatCode>
                <c:ptCount val="15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</c:numCache>
            </c:numRef>
          </c:cat>
          <c:val>
            <c:numRef>
              <c:f>Investment_Growth!$B$4:$B$154</c:f>
              <c:numCache>
                <c:formatCode>_("$"* #,##0.00_);_("$"* \(#,##0.00\);_("$"* "-"??_);_(@_)</c:formatCode>
                <c:ptCount val="151"/>
                <c:pt idx="0">
                  <c:v>50.0</c:v>
                </c:pt>
                <c:pt idx="1">
                  <c:v>50.5</c:v>
                </c:pt>
                <c:pt idx="2">
                  <c:v>51.0</c:v>
                </c:pt>
                <c:pt idx="3">
                  <c:v>51.5</c:v>
                </c:pt>
                <c:pt idx="4">
                  <c:v>52.0</c:v>
                </c:pt>
                <c:pt idx="5">
                  <c:v>52.5</c:v>
                </c:pt>
                <c:pt idx="6">
                  <c:v>53.0</c:v>
                </c:pt>
                <c:pt idx="7">
                  <c:v>53.5</c:v>
                </c:pt>
                <c:pt idx="8">
                  <c:v>54.0</c:v>
                </c:pt>
                <c:pt idx="9">
                  <c:v>54.50000000000001</c:v>
                </c:pt>
                <c:pt idx="10">
                  <c:v>55.00000000000001</c:v>
                </c:pt>
                <c:pt idx="11">
                  <c:v>55.50000000000001</c:v>
                </c:pt>
                <c:pt idx="12">
                  <c:v>56.00000000000001</c:v>
                </c:pt>
                <c:pt idx="13">
                  <c:v>56.5</c:v>
                </c:pt>
                <c:pt idx="14">
                  <c:v>57.00000000000001</c:v>
                </c:pt>
                <c:pt idx="15">
                  <c:v>57.5</c:v>
                </c:pt>
                <c:pt idx="16">
                  <c:v>58</c:v>
                </c:pt>
                <c:pt idx="17">
                  <c:v>58.5</c:v>
                </c:pt>
                <c:pt idx="18">
                  <c:v>59.0</c:v>
                </c:pt>
                <c:pt idx="19">
                  <c:v>59.5</c:v>
                </c:pt>
                <c:pt idx="20">
                  <c:v>60.0</c:v>
                </c:pt>
                <c:pt idx="21">
                  <c:v>60.5</c:v>
                </c:pt>
                <c:pt idx="22">
                  <c:v>61.0</c:v>
                </c:pt>
                <c:pt idx="23">
                  <c:v>61.5</c:v>
                </c:pt>
                <c:pt idx="24">
                  <c:v>62.0</c:v>
                </c:pt>
                <c:pt idx="25">
                  <c:v>62.5</c:v>
                </c:pt>
                <c:pt idx="26">
                  <c:v>63.0</c:v>
                </c:pt>
                <c:pt idx="27">
                  <c:v>63.5</c:v>
                </c:pt>
                <c:pt idx="28">
                  <c:v>64.0</c:v>
                </c:pt>
                <c:pt idx="29">
                  <c:v>64.5</c:v>
                </c:pt>
                <c:pt idx="30">
                  <c:v>65.0</c:v>
                </c:pt>
                <c:pt idx="31">
                  <c:v>65.5</c:v>
                </c:pt>
                <c:pt idx="32">
                  <c:v>66.0</c:v>
                </c:pt>
                <c:pt idx="33">
                  <c:v>66.5</c:v>
                </c:pt>
                <c:pt idx="34">
                  <c:v>67.0</c:v>
                </c:pt>
                <c:pt idx="35">
                  <c:v>67.5</c:v>
                </c:pt>
                <c:pt idx="36">
                  <c:v>68.0</c:v>
                </c:pt>
                <c:pt idx="37">
                  <c:v>68.5</c:v>
                </c:pt>
                <c:pt idx="38">
                  <c:v>69.0</c:v>
                </c:pt>
                <c:pt idx="39">
                  <c:v>69.5</c:v>
                </c:pt>
                <c:pt idx="40">
                  <c:v>70.0</c:v>
                </c:pt>
                <c:pt idx="41">
                  <c:v>70.5</c:v>
                </c:pt>
                <c:pt idx="42">
                  <c:v>71.0</c:v>
                </c:pt>
                <c:pt idx="43">
                  <c:v>71.5</c:v>
                </c:pt>
                <c:pt idx="44">
                  <c:v>72.0</c:v>
                </c:pt>
                <c:pt idx="45">
                  <c:v>72.5</c:v>
                </c:pt>
                <c:pt idx="46">
                  <c:v>73.0</c:v>
                </c:pt>
                <c:pt idx="47">
                  <c:v>73.5</c:v>
                </c:pt>
                <c:pt idx="48">
                  <c:v>74.0</c:v>
                </c:pt>
                <c:pt idx="49">
                  <c:v>74.5</c:v>
                </c:pt>
                <c:pt idx="50">
                  <c:v>75.0</c:v>
                </c:pt>
                <c:pt idx="51">
                  <c:v>75.5</c:v>
                </c:pt>
                <c:pt idx="52">
                  <c:v>76.0</c:v>
                </c:pt>
                <c:pt idx="53">
                  <c:v>76.5</c:v>
                </c:pt>
                <c:pt idx="54">
                  <c:v>77.0</c:v>
                </c:pt>
                <c:pt idx="55">
                  <c:v>77.5</c:v>
                </c:pt>
                <c:pt idx="56">
                  <c:v>78.0</c:v>
                </c:pt>
                <c:pt idx="57">
                  <c:v>78.5</c:v>
                </c:pt>
                <c:pt idx="58">
                  <c:v>79.0</c:v>
                </c:pt>
                <c:pt idx="59">
                  <c:v>79.5</c:v>
                </c:pt>
                <c:pt idx="60">
                  <c:v>80.0</c:v>
                </c:pt>
                <c:pt idx="61">
                  <c:v>80.5</c:v>
                </c:pt>
                <c:pt idx="62">
                  <c:v>81.0</c:v>
                </c:pt>
                <c:pt idx="63">
                  <c:v>81.5</c:v>
                </c:pt>
                <c:pt idx="64">
                  <c:v>82.0</c:v>
                </c:pt>
                <c:pt idx="65">
                  <c:v>82.5</c:v>
                </c:pt>
                <c:pt idx="66">
                  <c:v>83.0</c:v>
                </c:pt>
                <c:pt idx="67">
                  <c:v>83.5</c:v>
                </c:pt>
                <c:pt idx="68">
                  <c:v>84.00000000000001</c:v>
                </c:pt>
                <c:pt idx="69">
                  <c:v>84.5</c:v>
                </c:pt>
                <c:pt idx="70">
                  <c:v>85.00000000000001</c:v>
                </c:pt>
                <c:pt idx="71">
                  <c:v>85.5</c:v>
                </c:pt>
                <c:pt idx="72">
                  <c:v>86.0</c:v>
                </c:pt>
                <c:pt idx="73">
                  <c:v>86.5</c:v>
                </c:pt>
                <c:pt idx="74">
                  <c:v>87.0</c:v>
                </c:pt>
                <c:pt idx="75">
                  <c:v>87.5</c:v>
                </c:pt>
                <c:pt idx="76">
                  <c:v>88.0</c:v>
                </c:pt>
                <c:pt idx="77">
                  <c:v>88.5</c:v>
                </c:pt>
                <c:pt idx="78">
                  <c:v>89.0</c:v>
                </c:pt>
                <c:pt idx="79">
                  <c:v>89.5</c:v>
                </c:pt>
                <c:pt idx="80">
                  <c:v>90.0</c:v>
                </c:pt>
                <c:pt idx="81">
                  <c:v>90.5</c:v>
                </c:pt>
                <c:pt idx="82">
                  <c:v>91.0</c:v>
                </c:pt>
                <c:pt idx="83">
                  <c:v>91.5</c:v>
                </c:pt>
                <c:pt idx="84">
                  <c:v>92.0</c:v>
                </c:pt>
                <c:pt idx="85">
                  <c:v>92.5</c:v>
                </c:pt>
                <c:pt idx="86">
                  <c:v>93.0</c:v>
                </c:pt>
                <c:pt idx="87">
                  <c:v>93.5</c:v>
                </c:pt>
                <c:pt idx="88">
                  <c:v>94.0</c:v>
                </c:pt>
                <c:pt idx="89">
                  <c:v>94.5</c:v>
                </c:pt>
                <c:pt idx="90">
                  <c:v>95.0</c:v>
                </c:pt>
                <c:pt idx="91">
                  <c:v>95.5</c:v>
                </c:pt>
                <c:pt idx="92">
                  <c:v>96.0</c:v>
                </c:pt>
                <c:pt idx="93">
                  <c:v>96.50000000000001</c:v>
                </c:pt>
                <c:pt idx="94">
                  <c:v>97.0</c:v>
                </c:pt>
                <c:pt idx="95">
                  <c:v>97.50000000000001</c:v>
                </c:pt>
                <c:pt idx="96">
                  <c:v>98.0</c:v>
                </c:pt>
                <c:pt idx="97">
                  <c:v>98.5</c:v>
                </c:pt>
                <c:pt idx="98">
                  <c:v>99.0</c:v>
                </c:pt>
                <c:pt idx="99">
                  <c:v>99.5</c:v>
                </c:pt>
                <c:pt idx="100">
                  <c:v>100.0</c:v>
                </c:pt>
                <c:pt idx="101">
                  <c:v>100.5</c:v>
                </c:pt>
                <c:pt idx="102">
                  <c:v>101.0</c:v>
                </c:pt>
                <c:pt idx="103">
                  <c:v>101.5</c:v>
                </c:pt>
                <c:pt idx="104">
                  <c:v>102.0</c:v>
                </c:pt>
                <c:pt idx="105">
                  <c:v>102.5</c:v>
                </c:pt>
                <c:pt idx="106">
                  <c:v>103.0</c:v>
                </c:pt>
                <c:pt idx="107">
                  <c:v>103.5</c:v>
                </c:pt>
                <c:pt idx="108">
                  <c:v>104.0</c:v>
                </c:pt>
                <c:pt idx="109">
                  <c:v>104.5</c:v>
                </c:pt>
                <c:pt idx="110">
                  <c:v>105.0</c:v>
                </c:pt>
                <c:pt idx="111">
                  <c:v>105.5</c:v>
                </c:pt>
                <c:pt idx="112">
                  <c:v>106.0</c:v>
                </c:pt>
                <c:pt idx="113">
                  <c:v>106.5</c:v>
                </c:pt>
                <c:pt idx="114">
                  <c:v>107.0</c:v>
                </c:pt>
                <c:pt idx="115">
                  <c:v>107.5</c:v>
                </c:pt>
                <c:pt idx="116">
                  <c:v>108.0</c:v>
                </c:pt>
                <c:pt idx="117">
                  <c:v>108.5</c:v>
                </c:pt>
                <c:pt idx="118">
                  <c:v>109</c:v>
                </c:pt>
                <c:pt idx="119">
                  <c:v>109.5</c:v>
                </c:pt>
                <c:pt idx="120">
                  <c:v>110.0</c:v>
                </c:pt>
                <c:pt idx="121">
                  <c:v>110.5</c:v>
                </c:pt>
                <c:pt idx="122">
                  <c:v>111</c:v>
                </c:pt>
                <c:pt idx="123">
                  <c:v>111.5</c:v>
                </c:pt>
                <c:pt idx="124">
                  <c:v>112.0</c:v>
                </c:pt>
                <c:pt idx="125">
                  <c:v>112.5</c:v>
                </c:pt>
                <c:pt idx="126">
                  <c:v>113</c:v>
                </c:pt>
                <c:pt idx="127">
                  <c:v>113.5</c:v>
                </c:pt>
                <c:pt idx="128">
                  <c:v>114.0</c:v>
                </c:pt>
                <c:pt idx="129">
                  <c:v>114.5</c:v>
                </c:pt>
                <c:pt idx="130">
                  <c:v>115</c:v>
                </c:pt>
                <c:pt idx="131">
                  <c:v>115.5</c:v>
                </c:pt>
                <c:pt idx="132">
                  <c:v>116.0</c:v>
                </c:pt>
                <c:pt idx="133">
                  <c:v>116.5</c:v>
                </c:pt>
                <c:pt idx="134">
                  <c:v>117.0</c:v>
                </c:pt>
                <c:pt idx="135">
                  <c:v>117.5</c:v>
                </c:pt>
                <c:pt idx="136">
                  <c:v>118.0</c:v>
                </c:pt>
                <c:pt idx="137">
                  <c:v>118.5</c:v>
                </c:pt>
                <c:pt idx="138">
                  <c:v>119.0</c:v>
                </c:pt>
                <c:pt idx="139">
                  <c:v>119.5</c:v>
                </c:pt>
                <c:pt idx="140">
                  <c:v>120.0</c:v>
                </c:pt>
                <c:pt idx="141">
                  <c:v>120.5</c:v>
                </c:pt>
                <c:pt idx="142">
                  <c:v>121.0</c:v>
                </c:pt>
                <c:pt idx="143">
                  <c:v>121.5</c:v>
                </c:pt>
                <c:pt idx="144">
                  <c:v>122.0</c:v>
                </c:pt>
                <c:pt idx="145">
                  <c:v>122.5</c:v>
                </c:pt>
                <c:pt idx="146">
                  <c:v>123.0</c:v>
                </c:pt>
                <c:pt idx="147">
                  <c:v>123.5</c:v>
                </c:pt>
                <c:pt idx="148">
                  <c:v>124.0</c:v>
                </c:pt>
                <c:pt idx="149">
                  <c:v>124.5</c:v>
                </c:pt>
                <c:pt idx="150">
                  <c:v>125.0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Investment_Growth!$C$3</c:f>
              <c:strCache>
                <c:ptCount val="1"/>
                <c:pt idx="0">
                  <c:v>intérêt composé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Investment_Growth!$A$4:$A$154</c:f>
              <c:numCache>
                <c:formatCode>General</c:formatCode>
                <c:ptCount val="151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  <c:pt idx="16">
                  <c:v>16.0</c:v>
                </c:pt>
                <c:pt idx="17">
                  <c:v>17.0</c:v>
                </c:pt>
                <c:pt idx="18">
                  <c:v>18.0</c:v>
                </c:pt>
                <c:pt idx="19">
                  <c:v>19.0</c:v>
                </c:pt>
                <c:pt idx="20">
                  <c:v>20.0</c:v>
                </c:pt>
                <c:pt idx="21">
                  <c:v>21.0</c:v>
                </c:pt>
                <c:pt idx="22">
                  <c:v>22.0</c:v>
                </c:pt>
                <c:pt idx="23">
                  <c:v>23.0</c:v>
                </c:pt>
                <c:pt idx="24">
                  <c:v>24.0</c:v>
                </c:pt>
                <c:pt idx="25">
                  <c:v>25.0</c:v>
                </c:pt>
                <c:pt idx="26">
                  <c:v>26.0</c:v>
                </c:pt>
                <c:pt idx="27">
                  <c:v>27.0</c:v>
                </c:pt>
                <c:pt idx="28">
                  <c:v>28.0</c:v>
                </c:pt>
                <c:pt idx="29">
                  <c:v>29.0</c:v>
                </c:pt>
                <c:pt idx="30">
                  <c:v>30.0</c:v>
                </c:pt>
                <c:pt idx="31">
                  <c:v>31.0</c:v>
                </c:pt>
                <c:pt idx="32">
                  <c:v>32.0</c:v>
                </c:pt>
                <c:pt idx="33">
                  <c:v>33.0</c:v>
                </c:pt>
                <c:pt idx="34">
                  <c:v>34.0</c:v>
                </c:pt>
                <c:pt idx="35">
                  <c:v>35.0</c:v>
                </c:pt>
                <c:pt idx="36">
                  <c:v>36.0</c:v>
                </c:pt>
                <c:pt idx="37">
                  <c:v>37.0</c:v>
                </c:pt>
                <c:pt idx="38">
                  <c:v>38.0</c:v>
                </c:pt>
                <c:pt idx="39">
                  <c:v>39.0</c:v>
                </c:pt>
                <c:pt idx="40">
                  <c:v>40.0</c:v>
                </c:pt>
                <c:pt idx="41">
                  <c:v>41.0</c:v>
                </c:pt>
                <c:pt idx="42">
                  <c:v>42.0</c:v>
                </c:pt>
                <c:pt idx="43">
                  <c:v>43.0</c:v>
                </c:pt>
                <c:pt idx="44">
                  <c:v>44.0</c:v>
                </c:pt>
                <c:pt idx="45">
                  <c:v>45.0</c:v>
                </c:pt>
                <c:pt idx="46">
                  <c:v>46.0</c:v>
                </c:pt>
                <c:pt idx="47">
                  <c:v>47.0</c:v>
                </c:pt>
                <c:pt idx="48">
                  <c:v>48.0</c:v>
                </c:pt>
                <c:pt idx="49">
                  <c:v>49.0</c:v>
                </c:pt>
                <c:pt idx="50">
                  <c:v>50.0</c:v>
                </c:pt>
                <c:pt idx="51">
                  <c:v>51.0</c:v>
                </c:pt>
                <c:pt idx="52">
                  <c:v>52.0</c:v>
                </c:pt>
                <c:pt idx="53">
                  <c:v>53.0</c:v>
                </c:pt>
                <c:pt idx="54">
                  <c:v>54.0</c:v>
                </c:pt>
                <c:pt idx="55">
                  <c:v>55.0</c:v>
                </c:pt>
                <c:pt idx="56">
                  <c:v>56.0</c:v>
                </c:pt>
                <c:pt idx="57">
                  <c:v>57.0</c:v>
                </c:pt>
                <c:pt idx="58">
                  <c:v>58.0</c:v>
                </c:pt>
                <c:pt idx="59">
                  <c:v>59.0</c:v>
                </c:pt>
                <c:pt idx="60">
                  <c:v>60.0</c:v>
                </c:pt>
                <c:pt idx="61">
                  <c:v>61.0</c:v>
                </c:pt>
                <c:pt idx="62">
                  <c:v>62.0</c:v>
                </c:pt>
                <c:pt idx="63">
                  <c:v>63.0</c:v>
                </c:pt>
                <c:pt idx="64">
                  <c:v>64.0</c:v>
                </c:pt>
                <c:pt idx="65">
                  <c:v>65.0</c:v>
                </c:pt>
                <c:pt idx="66">
                  <c:v>66.0</c:v>
                </c:pt>
                <c:pt idx="67">
                  <c:v>67.0</c:v>
                </c:pt>
                <c:pt idx="68">
                  <c:v>68.0</c:v>
                </c:pt>
                <c:pt idx="69">
                  <c:v>69.0</c:v>
                </c:pt>
                <c:pt idx="70">
                  <c:v>70.0</c:v>
                </c:pt>
                <c:pt idx="71">
                  <c:v>71.0</c:v>
                </c:pt>
                <c:pt idx="72">
                  <c:v>72.0</c:v>
                </c:pt>
                <c:pt idx="73">
                  <c:v>73.0</c:v>
                </c:pt>
                <c:pt idx="74">
                  <c:v>74.0</c:v>
                </c:pt>
                <c:pt idx="75">
                  <c:v>75.0</c:v>
                </c:pt>
                <c:pt idx="76">
                  <c:v>76.0</c:v>
                </c:pt>
                <c:pt idx="77">
                  <c:v>77.0</c:v>
                </c:pt>
                <c:pt idx="78">
                  <c:v>78.0</c:v>
                </c:pt>
                <c:pt idx="79">
                  <c:v>79.0</c:v>
                </c:pt>
                <c:pt idx="80">
                  <c:v>80.0</c:v>
                </c:pt>
                <c:pt idx="81">
                  <c:v>81.0</c:v>
                </c:pt>
                <c:pt idx="82">
                  <c:v>82.0</c:v>
                </c:pt>
                <c:pt idx="83">
                  <c:v>83.0</c:v>
                </c:pt>
                <c:pt idx="84">
                  <c:v>84.0</c:v>
                </c:pt>
                <c:pt idx="85">
                  <c:v>85.0</c:v>
                </c:pt>
                <c:pt idx="86">
                  <c:v>86.0</c:v>
                </c:pt>
                <c:pt idx="87">
                  <c:v>87.0</c:v>
                </c:pt>
                <c:pt idx="88">
                  <c:v>88.0</c:v>
                </c:pt>
                <c:pt idx="89">
                  <c:v>89.0</c:v>
                </c:pt>
                <c:pt idx="90">
                  <c:v>90.0</c:v>
                </c:pt>
                <c:pt idx="91">
                  <c:v>91.0</c:v>
                </c:pt>
                <c:pt idx="92">
                  <c:v>92.0</c:v>
                </c:pt>
                <c:pt idx="93">
                  <c:v>93.0</c:v>
                </c:pt>
                <c:pt idx="94">
                  <c:v>94.0</c:v>
                </c:pt>
                <c:pt idx="95">
                  <c:v>95.0</c:v>
                </c:pt>
                <c:pt idx="96">
                  <c:v>96.0</c:v>
                </c:pt>
                <c:pt idx="97">
                  <c:v>97.0</c:v>
                </c:pt>
                <c:pt idx="98">
                  <c:v>98.0</c:v>
                </c:pt>
                <c:pt idx="99">
                  <c:v>99.0</c:v>
                </c:pt>
                <c:pt idx="100">
                  <c:v>100.0</c:v>
                </c:pt>
                <c:pt idx="101">
                  <c:v>101.0</c:v>
                </c:pt>
                <c:pt idx="102">
                  <c:v>102.0</c:v>
                </c:pt>
                <c:pt idx="103">
                  <c:v>103.0</c:v>
                </c:pt>
                <c:pt idx="104">
                  <c:v>104.0</c:v>
                </c:pt>
                <c:pt idx="105">
                  <c:v>105.0</c:v>
                </c:pt>
                <c:pt idx="106">
                  <c:v>106.0</c:v>
                </c:pt>
                <c:pt idx="107">
                  <c:v>107.0</c:v>
                </c:pt>
                <c:pt idx="108">
                  <c:v>108.0</c:v>
                </c:pt>
                <c:pt idx="109">
                  <c:v>109.0</c:v>
                </c:pt>
                <c:pt idx="110">
                  <c:v>110.0</c:v>
                </c:pt>
                <c:pt idx="111">
                  <c:v>111.0</c:v>
                </c:pt>
                <c:pt idx="112">
                  <c:v>112.0</c:v>
                </c:pt>
                <c:pt idx="113">
                  <c:v>113.0</c:v>
                </c:pt>
                <c:pt idx="114">
                  <c:v>114.0</c:v>
                </c:pt>
                <c:pt idx="115">
                  <c:v>115.0</c:v>
                </c:pt>
                <c:pt idx="116">
                  <c:v>116.0</c:v>
                </c:pt>
                <c:pt idx="117">
                  <c:v>117.0</c:v>
                </c:pt>
                <c:pt idx="118">
                  <c:v>118.0</c:v>
                </c:pt>
                <c:pt idx="119">
                  <c:v>119.0</c:v>
                </c:pt>
                <c:pt idx="120">
                  <c:v>120.0</c:v>
                </c:pt>
                <c:pt idx="121">
                  <c:v>121.0</c:v>
                </c:pt>
                <c:pt idx="122">
                  <c:v>122.0</c:v>
                </c:pt>
                <c:pt idx="123">
                  <c:v>123.0</c:v>
                </c:pt>
                <c:pt idx="124">
                  <c:v>124.0</c:v>
                </c:pt>
                <c:pt idx="125">
                  <c:v>125.0</c:v>
                </c:pt>
                <c:pt idx="126">
                  <c:v>126.0</c:v>
                </c:pt>
                <c:pt idx="127">
                  <c:v>127.0</c:v>
                </c:pt>
                <c:pt idx="128">
                  <c:v>128.0</c:v>
                </c:pt>
                <c:pt idx="129">
                  <c:v>129.0</c:v>
                </c:pt>
                <c:pt idx="130">
                  <c:v>130.0</c:v>
                </c:pt>
                <c:pt idx="131">
                  <c:v>131.0</c:v>
                </c:pt>
                <c:pt idx="132">
                  <c:v>132.0</c:v>
                </c:pt>
                <c:pt idx="133">
                  <c:v>133.0</c:v>
                </c:pt>
                <c:pt idx="134">
                  <c:v>134.0</c:v>
                </c:pt>
                <c:pt idx="135">
                  <c:v>135.0</c:v>
                </c:pt>
                <c:pt idx="136">
                  <c:v>136.0</c:v>
                </c:pt>
                <c:pt idx="137">
                  <c:v>137.0</c:v>
                </c:pt>
                <c:pt idx="138">
                  <c:v>138.0</c:v>
                </c:pt>
                <c:pt idx="139">
                  <c:v>139.0</c:v>
                </c:pt>
                <c:pt idx="140">
                  <c:v>140.0</c:v>
                </c:pt>
                <c:pt idx="141">
                  <c:v>141.0</c:v>
                </c:pt>
                <c:pt idx="142">
                  <c:v>142.0</c:v>
                </c:pt>
                <c:pt idx="143">
                  <c:v>143.0</c:v>
                </c:pt>
                <c:pt idx="144">
                  <c:v>144.0</c:v>
                </c:pt>
                <c:pt idx="145">
                  <c:v>145.0</c:v>
                </c:pt>
                <c:pt idx="146">
                  <c:v>146.0</c:v>
                </c:pt>
                <c:pt idx="147">
                  <c:v>147.0</c:v>
                </c:pt>
                <c:pt idx="148">
                  <c:v>148.0</c:v>
                </c:pt>
                <c:pt idx="149">
                  <c:v>149.0</c:v>
                </c:pt>
                <c:pt idx="150">
                  <c:v>150.0</c:v>
                </c:pt>
              </c:numCache>
            </c:numRef>
          </c:cat>
          <c:val>
            <c:numRef>
              <c:f>Investment_Growth!$C$4:$C$154</c:f>
              <c:numCache>
                <c:formatCode>_("$"* #,##0.00_);_("$"* \(#,##0.00\);_("$"* "-"??_);_(@_)</c:formatCode>
                <c:ptCount val="151"/>
                <c:pt idx="0">
                  <c:v>50.0</c:v>
                </c:pt>
                <c:pt idx="1">
                  <c:v>50.5</c:v>
                </c:pt>
                <c:pt idx="2">
                  <c:v>51.005</c:v>
                </c:pt>
                <c:pt idx="3">
                  <c:v>51.51505</c:v>
                </c:pt>
                <c:pt idx="4">
                  <c:v>52.0302005</c:v>
                </c:pt>
                <c:pt idx="5">
                  <c:v>52.550502505</c:v>
                </c:pt>
                <c:pt idx="6">
                  <c:v>53.07600753005001</c:v>
                </c:pt>
                <c:pt idx="7">
                  <c:v>53.60676760535049</c:v>
                </c:pt>
                <c:pt idx="8">
                  <c:v>54.14283528140401</c:v>
                </c:pt>
                <c:pt idx="9">
                  <c:v>54.68426363421806</c:v>
                </c:pt>
                <c:pt idx="10">
                  <c:v>55.23110627056024</c:v>
                </c:pt>
                <c:pt idx="11">
                  <c:v>55.78341733326583</c:v>
                </c:pt>
                <c:pt idx="12">
                  <c:v>56.34125150659849</c:v>
                </c:pt>
                <c:pt idx="13">
                  <c:v>56.90466402166447</c:v>
                </c:pt>
                <c:pt idx="14">
                  <c:v>57.47371066188113</c:v>
                </c:pt>
                <c:pt idx="15">
                  <c:v>58.04844776849992</c:v>
                </c:pt>
                <c:pt idx="16">
                  <c:v>58.62893224618493</c:v>
                </c:pt>
                <c:pt idx="17">
                  <c:v>59.21522156864679</c:v>
                </c:pt>
                <c:pt idx="18">
                  <c:v>59.80737378433327</c:v>
                </c:pt>
                <c:pt idx="19">
                  <c:v>60.40544752217658</c:v>
                </c:pt>
                <c:pt idx="20">
                  <c:v>61.00950199739835</c:v>
                </c:pt>
                <c:pt idx="21">
                  <c:v>61.61959701737233</c:v>
                </c:pt>
                <c:pt idx="22">
                  <c:v>62.23579298754607</c:v>
                </c:pt>
                <c:pt idx="23">
                  <c:v>62.85815091742152</c:v>
                </c:pt>
                <c:pt idx="24">
                  <c:v>63.48673242659575</c:v>
                </c:pt>
                <c:pt idx="25">
                  <c:v>64.12159975086172</c:v>
                </c:pt>
                <c:pt idx="26">
                  <c:v>64.76281574837032</c:v>
                </c:pt>
                <c:pt idx="27">
                  <c:v>65.410443905854</c:v>
                </c:pt>
                <c:pt idx="28">
                  <c:v>66.06454834491255</c:v>
                </c:pt>
                <c:pt idx="29">
                  <c:v>66.72519382836168</c:v>
                </c:pt>
                <c:pt idx="30">
                  <c:v>67.39244576664531</c:v>
                </c:pt>
                <c:pt idx="31">
                  <c:v>68.06637022431174</c:v>
                </c:pt>
                <c:pt idx="32">
                  <c:v>68.74703392655488</c:v>
                </c:pt>
                <c:pt idx="33">
                  <c:v>69.43450426582043</c:v>
                </c:pt>
                <c:pt idx="34">
                  <c:v>70.12884930847864</c:v>
                </c:pt>
                <c:pt idx="35">
                  <c:v>70.83013780156341</c:v>
                </c:pt>
                <c:pt idx="36">
                  <c:v>71.53843917957904</c:v>
                </c:pt>
                <c:pt idx="37">
                  <c:v>72.25382357137483</c:v>
                </c:pt>
                <c:pt idx="38">
                  <c:v>72.97636180708859</c:v>
                </c:pt>
                <c:pt idx="39">
                  <c:v>73.70612542515945</c:v>
                </c:pt>
                <c:pt idx="40">
                  <c:v>74.44318667941107</c:v>
                </c:pt>
                <c:pt idx="41">
                  <c:v>75.18761854620518</c:v>
                </c:pt>
                <c:pt idx="42">
                  <c:v>75.93949473166725</c:v>
                </c:pt>
                <c:pt idx="43">
                  <c:v>76.6988896789839</c:v>
                </c:pt>
                <c:pt idx="44">
                  <c:v>77.46587857577374</c:v>
                </c:pt>
                <c:pt idx="45">
                  <c:v>78.24053736153149</c:v>
                </c:pt>
                <c:pt idx="46">
                  <c:v>79.02294273514681</c:v>
                </c:pt>
                <c:pt idx="47">
                  <c:v>79.81317216249826</c:v>
                </c:pt>
                <c:pt idx="48">
                  <c:v>80.61130388412325</c:v>
                </c:pt>
                <c:pt idx="49">
                  <c:v>81.4174169229645</c:v>
                </c:pt>
                <c:pt idx="50">
                  <c:v>82.23159109219415</c:v>
                </c:pt>
                <c:pt idx="51">
                  <c:v>83.05390700311608</c:v>
                </c:pt>
                <c:pt idx="52">
                  <c:v>83.88444607314724</c:v>
                </c:pt>
                <c:pt idx="53">
                  <c:v>84.7232905338787</c:v>
                </c:pt>
                <c:pt idx="54">
                  <c:v>85.5705234392175</c:v>
                </c:pt>
                <c:pt idx="55">
                  <c:v>86.42622867360967</c:v>
                </c:pt>
                <c:pt idx="56">
                  <c:v>87.2904909603458</c:v>
                </c:pt>
                <c:pt idx="57">
                  <c:v>88.16339586994925</c:v>
                </c:pt>
                <c:pt idx="58">
                  <c:v>89.04502982864875</c:v>
                </c:pt>
                <c:pt idx="59">
                  <c:v>89.9354801269352</c:v>
                </c:pt>
                <c:pt idx="60">
                  <c:v>90.83483492820457</c:v>
                </c:pt>
                <c:pt idx="61">
                  <c:v>91.74318327748662</c:v>
                </c:pt>
                <c:pt idx="62">
                  <c:v>92.6606151102615</c:v>
                </c:pt>
                <c:pt idx="63">
                  <c:v>93.58722126136407</c:v>
                </c:pt>
                <c:pt idx="64">
                  <c:v>94.52309347397775</c:v>
                </c:pt>
                <c:pt idx="65">
                  <c:v>95.46832440871753</c:v>
                </c:pt>
                <c:pt idx="66">
                  <c:v>96.4230076528047</c:v>
                </c:pt>
                <c:pt idx="67">
                  <c:v>97.38723772933273</c:v>
                </c:pt>
                <c:pt idx="68">
                  <c:v>98.36111010662609</c:v>
                </c:pt>
                <c:pt idx="69">
                  <c:v>99.34472120769233</c:v>
                </c:pt>
                <c:pt idx="70">
                  <c:v>100.3381684197693</c:v>
                </c:pt>
                <c:pt idx="71">
                  <c:v>101.3415501039669</c:v>
                </c:pt>
                <c:pt idx="72">
                  <c:v>102.3549656050066</c:v>
                </c:pt>
                <c:pt idx="73">
                  <c:v>103.3785152610567</c:v>
                </c:pt>
                <c:pt idx="74">
                  <c:v>104.4123004136673</c:v>
                </c:pt>
                <c:pt idx="75">
                  <c:v>105.4564234178039</c:v>
                </c:pt>
                <c:pt idx="76">
                  <c:v>106.510987651982</c:v>
                </c:pt>
                <c:pt idx="77">
                  <c:v>107.5760975285018</c:v>
                </c:pt>
                <c:pt idx="78">
                  <c:v>108.6518585037868</c:v>
                </c:pt>
                <c:pt idx="79">
                  <c:v>109.7383770888247</c:v>
                </c:pt>
                <c:pt idx="80">
                  <c:v>110.8357608597129</c:v>
                </c:pt>
                <c:pt idx="81">
                  <c:v>111.9441184683101</c:v>
                </c:pt>
                <c:pt idx="82">
                  <c:v>113.0635596529932</c:v>
                </c:pt>
                <c:pt idx="83">
                  <c:v>114.1941952495231</c:v>
                </c:pt>
                <c:pt idx="84">
                  <c:v>115.3361372020183</c:v>
                </c:pt>
                <c:pt idx="85">
                  <c:v>116.4894985740385</c:v>
                </c:pt>
                <c:pt idx="86">
                  <c:v>117.6543935597789</c:v>
                </c:pt>
                <c:pt idx="87">
                  <c:v>118.8309374953767</c:v>
                </c:pt>
                <c:pt idx="88">
                  <c:v>120.0192468703305</c:v>
                </c:pt>
                <c:pt idx="89">
                  <c:v>121.2194393390338</c:v>
                </c:pt>
                <c:pt idx="90">
                  <c:v>122.4316337324241</c:v>
                </c:pt>
                <c:pt idx="91">
                  <c:v>123.6559500697483</c:v>
                </c:pt>
                <c:pt idx="92">
                  <c:v>124.8925095704458</c:v>
                </c:pt>
                <c:pt idx="93">
                  <c:v>126.1414346661503</c:v>
                </c:pt>
                <c:pt idx="94">
                  <c:v>127.4028490128118</c:v>
                </c:pt>
                <c:pt idx="95">
                  <c:v>128.67687750294</c:v>
                </c:pt>
                <c:pt idx="96">
                  <c:v>129.9636462779693</c:v>
                </c:pt>
                <c:pt idx="97">
                  <c:v>131.263282740749</c:v>
                </c:pt>
                <c:pt idx="98">
                  <c:v>132.5759155681565</c:v>
                </c:pt>
                <c:pt idx="99">
                  <c:v>133.9016747238381</c:v>
                </c:pt>
                <c:pt idx="100">
                  <c:v>135.2406914710764</c:v>
                </c:pt>
                <c:pt idx="101">
                  <c:v>136.5930983857872</c:v>
                </c:pt>
                <c:pt idx="102">
                  <c:v>137.9590293696451</c:v>
                </c:pt>
                <c:pt idx="103">
                  <c:v>139.3386196633415</c:v>
                </c:pt>
                <c:pt idx="104">
                  <c:v>140.732005859975</c:v>
                </c:pt>
                <c:pt idx="105">
                  <c:v>142.1393259185747</c:v>
                </c:pt>
                <c:pt idx="106">
                  <c:v>143.5607191777605</c:v>
                </c:pt>
                <c:pt idx="107">
                  <c:v>144.9963263695381</c:v>
                </c:pt>
                <c:pt idx="108">
                  <c:v>146.4462896332334</c:v>
                </c:pt>
                <c:pt idx="109">
                  <c:v>147.9107525295658</c:v>
                </c:pt>
                <c:pt idx="110">
                  <c:v>149.3898600548615</c:v>
                </c:pt>
                <c:pt idx="111">
                  <c:v>150.88375865541</c:v>
                </c:pt>
                <c:pt idx="112">
                  <c:v>152.3925962419642</c:v>
                </c:pt>
                <c:pt idx="113">
                  <c:v>153.9165222043838</c:v>
                </c:pt>
                <c:pt idx="114">
                  <c:v>155.4556874264277</c:v>
                </c:pt>
                <c:pt idx="115">
                  <c:v>157.010244300692</c:v>
                </c:pt>
                <c:pt idx="116">
                  <c:v>158.5803467436988</c:v>
                </c:pt>
                <c:pt idx="117">
                  <c:v>160.1661502111358</c:v>
                </c:pt>
                <c:pt idx="118">
                  <c:v>161.7678117132472</c:v>
                </c:pt>
                <c:pt idx="119">
                  <c:v>163.3854898303797</c:v>
                </c:pt>
                <c:pt idx="120">
                  <c:v>165.0193447286835</c:v>
                </c:pt>
                <c:pt idx="121">
                  <c:v>166.6695381759703</c:v>
                </c:pt>
                <c:pt idx="122">
                  <c:v>168.33623355773</c:v>
                </c:pt>
                <c:pt idx="123">
                  <c:v>170.0195958933073</c:v>
                </c:pt>
                <c:pt idx="124">
                  <c:v>171.7197918522404</c:v>
                </c:pt>
                <c:pt idx="125">
                  <c:v>173.4369897707628</c:v>
                </c:pt>
                <c:pt idx="126">
                  <c:v>175.1713596684705</c:v>
                </c:pt>
                <c:pt idx="127">
                  <c:v>176.9230732651551</c:v>
                </c:pt>
                <c:pt idx="128">
                  <c:v>178.6923039978067</c:v>
                </c:pt>
                <c:pt idx="129">
                  <c:v>180.4792270377848</c:v>
                </c:pt>
                <c:pt idx="130">
                  <c:v>182.2840193081626</c:v>
                </c:pt>
                <c:pt idx="131">
                  <c:v>184.1068595012442</c:v>
                </c:pt>
                <c:pt idx="132">
                  <c:v>185.9479280962567</c:v>
                </c:pt>
                <c:pt idx="133">
                  <c:v>187.8074073772192</c:v>
                </c:pt>
                <c:pt idx="134">
                  <c:v>189.6854814509914</c:v>
                </c:pt>
                <c:pt idx="135">
                  <c:v>191.5823362655013</c:v>
                </c:pt>
                <c:pt idx="136">
                  <c:v>193.4981596281564</c:v>
                </c:pt>
                <c:pt idx="137">
                  <c:v>195.4331412244379</c:v>
                </c:pt>
                <c:pt idx="138">
                  <c:v>197.3874726366824</c:v>
                </c:pt>
                <c:pt idx="139">
                  <c:v>199.3613473630491</c:v>
                </c:pt>
                <c:pt idx="140">
                  <c:v>201.3549608366796</c:v>
                </c:pt>
                <c:pt idx="141">
                  <c:v>203.3685104450464</c:v>
                </c:pt>
                <c:pt idx="142">
                  <c:v>205.4021955494969</c:v>
                </c:pt>
                <c:pt idx="143">
                  <c:v>207.4562175049918</c:v>
                </c:pt>
                <c:pt idx="144">
                  <c:v>209.5307796800418</c:v>
                </c:pt>
                <c:pt idx="145">
                  <c:v>211.6260874768423</c:v>
                </c:pt>
                <c:pt idx="146">
                  <c:v>213.7423483516107</c:v>
                </c:pt>
                <c:pt idx="147">
                  <c:v>215.8797718351267</c:v>
                </c:pt>
                <c:pt idx="148">
                  <c:v>218.038569553478</c:v>
                </c:pt>
                <c:pt idx="149">
                  <c:v>220.2189552490128</c:v>
                </c:pt>
                <c:pt idx="150">
                  <c:v>222.4211448015029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69888336"/>
        <c:axId val="-142602496"/>
      </c:lineChart>
      <c:catAx>
        <c:axId val="-169888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42602496"/>
        <c:crosses val="autoZero"/>
        <c:auto val="1"/>
        <c:lblAlgn val="ctr"/>
        <c:lblOffset val="100"/>
        <c:noMultiLvlLbl val="0"/>
      </c:catAx>
      <c:valAx>
        <c:axId val="-14260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69888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Present Value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Net_Present_Value!$B$48</c:f>
              <c:strCache>
                <c:ptCount val="1"/>
                <c:pt idx="0">
                  <c:v>NPV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5"/>
            <c:marker>
              <c:symbol val="circle"/>
              <c:size val="5"/>
              <c:spPr>
                <a:solidFill>
                  <a:srgbClr val="FFFF00"/>
                </a:solidFill>
                <a:ln w="53975">
                  <a:solidFill>
                    <a:srgbClr val="FFFF00"/>
                  </a:solidFill>
                </a:ln>
                <a:effectLst/>
              </c:spPr>
            </c:marker>
            <c:bubble3D val="0"/>
          </c:dPt>
          <c:dPt>
            <c:idx val="6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/>
            </c:spPr>
          </c:dPt>
          <c:xVal>
            <c:numRef>
              <c:f>Net_Present_Value!$A$49:$A$59</c:f>
              <c:numCache>
                <c:formatCode>0.000%</c:formatCode>
                <c:ptCount val="11"/>
                <c:pt idx="0">
                  <c:v>-0.025</c:v>
                </c:pt>
                <c:pt idx="1">
                  <c:v>-0.02</c:v>
                </c:pt>
                <c:pt idx="2">
                  <c:v>-0.015</c:v>
                </c:pt>
                <c:pt idx="3">
                  <c:v>-0.01</c:v>
                </c:pt>
                <c:pt idx="4">
                  <c:v>-0.005</c:v>
                </c:pt>
                <c:pt idx="5">
                  <c:v>0.0</c:v>
                </c:pt>
                <c:pt idx="6">
                  <c:v>0.005</c:v>
                </c:pt>
                <c:pt idx="7">
                  <c:v>0.01</c:v>
                </c:pt>
                <c:pt idx="8">
                  <c:v>0.015</c:v>
                </c:pt>
                <c:pt idx="9">
                  <c:v>0.02</c:v>
                </c:pt>
                <c:pt idx="10">
                  <c:v>0.025</c:v>
                </c:pt>
              </c:numCache>
            </c:numRef>
          </c:xVal>
          <c:yVal>
            <c:numRef>
              <c:f>Net_Present_Value!$B$49:$B$59</c:f>
              <c:numCache>
                <c:formatCode>_("$"* #,##0.00_);_("$"* \(#,##0.00\);_("$"* "-"??_);_(@_)</c:formatCode>
                <c:ptCount val="11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0963200"/>
        <c:axId val="-140960880"/>
      </c:scatterChart>
      <c:valAx>
        <c:axId val="-14096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40960880"/>
        <c:crosses val="autoZero"/>
        <c:crossBetween val="midCat"/>
      </c:valAx>
      <c:valAx>
        <c:axId val="-14096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40963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15</xdr:col>
      <xdr:colOff>0</xdr:colOff>
      <xdr:row>34</xdr:row>
      <xdr:rowOff>0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66342</xdr:colOff>
      <xdr:row>0</xdr:row>
      <xdr:rowOff>151641</xdr:rowOff>
    </xdr:from>
    <xdr:to>
      <xdr:col>3</xdr:col>
      <xdr:colOff>1298432</xdr:colOff>
      <xdr:row>2</xdr:row>
      <xdr:rowOff>161118</xdr:rowOff>
    </xdr:to>
    <xdr:sp macro="[0]!Tableau_amortissement" textlink="">
      <xdr:nvSpPr>
        <xdr:cNvPr id="2" name="Rectangle à coins arrondis 1"/>
        <xdr:cNvSpPr/>
      </xdr:nvSpPr>
      <xdr:spPr>
        <a:xfrm>
          <a:off x="4852536" y="151641"/>
          <a:ext cx="1232090" cy="407537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Simulation</a:t>
          </a:r>
        </a:p>
      </xdr:txBody>
    </xdr:sp>
    <xdr:clientData/>
  </xdr:twoCellAnchor>
  <xdr:twoCellAnchor>
    <xdr:from>
      <xdr:col>2</xdr:col>
      <xdr:colOff>161119</xdr:colOff>
      <xdr:row>0</xdr:row>
      <xdr:rowOff>132686</xdr:rowOff>
    </xdr:from>
    <xdr:to>
      <xdr:col>2</xdr:col>
      <xdr:colOff>1298432</xdr:colOff>
      <xdr:row>2</xdr:row>
      <xdr:rowOff>189552</xdr:rowOff>
    </xdr:to>
    <xdr:sp macro="[0]!reset_table" textlink="">
      <xdr:nvSpPr>
        <xdr:cNvPr id="3" name="Hexagone 2"/>
        <xdr:cNvSpPr/>
      </xdr:nvSpPr>
      <xdr:spPr>
        <a:xfrm>
          <a:off x="3525671" y="132686"/>
          <a:ext cx="1137313" cy="454926"/>
        </a:xfrm>
        <a:prstGeom prst="hexagon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Reset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2287</xdr:colOff>
      <xdr:row>46</xdr:row>
      <xdr:rowOff>0</xdr:rowOff>
    </xdr:from>
    <xdr:to>
      <xdr:col>9</xdr:col>
      <xdr:colOff>0</xdr:colOff>
      <xdr:row>61</xdr:row>
      <xdr:rowOff>0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251711</xdr:colOff>
      <xdr:row>1</xdr:row>
      <xdr:rowOff>57207</xdr:rowOff>
    </xdr:from>
    <xdr:to>
      <xdr:col>0</xdr:col>
      <xdr:colOff>1006846</xdr:colOff>
      <xdr:row>3</xdr:row>
      <xdr:rowOff>68648</xdr:rowOff>
    </xdr:to>
    <xdr:sp macro="[0]!effacer.effacer" textlink="">
      <xdr:nvSpPr>
        <xdr:cNvPr id="5" name="Rectangle à coins arrondis 4"/>
        <xdr:cNvSpPr/>
      </xdr:nvSpPr>
      <xdr:spPr>
        <a:xfrm>
          <a:off x="251711" y="274594"/>
          <a:ext cx="755135" cy="42333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600"/>
            <a:t>Reset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6</xdr:row>
      <xdr:rowOff>0</xdr:rowOff>
    </xdr:from>
    <xdr:to>
      <xdr:col>6</xdr:col>
      <xdr:colOff>0</xdr:colOff>
      <xdr:row>8</xdr:row>
      <xdr:rowOff>0</xdr:rowOff>
    </xdr:to>
    <xdr:sp macro="[0]!_xludf.duration" textlink="">
      <xdr:nvSpPr>
        <xdr:cNvPr id="2" name="Rectangle 1"/>
        <xdr:cNvSpPr/>
      </xdr:nvSpPr>
      <xdr:spPr>
        <a:xfrm>
          <a:off x="4089400" y="1231900"/>
          <a:ext cx="2895600" cy="41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Calcul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Bureau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1" enableFormatConditionsCalculation="0"/>
  <dimension ref="A1:P154"/>
  <sheetViews>
    <sheetView workbookViewId="0">
      <selection activeCell="H3" sqref="H3"/>
    </sheetView>
  </sheetViews>
  <sheetFormatPr baseColWidth="10" defaultColWidth="0" defaultRowHeight="16" x14ac:dyDescent="0.2"/>
  <cols>
    <col min="1" max="1" width="7.33203125" style="26" customWidth="1"/>
    <col min="2" max="3" width="13.83203125" style="26" customWidth="1"/>
    <col min="4" max="16" width="10.83203125" style="26" customWidth="1"/>
    <col min="17" max="16384" width="10.83203125" style="26" hidden="1"/>
  </cols>
  <sheetData>
    <row r="1" spans="1:3" x14ac:dyDescent="0.2">
      <c r="A1" s="133" t="s">
        <v>12</v>
      </c>
      <c r="B1" s="1">
        <v>0.01</v>
      </c>
    </row>
    <row r="2" spans="1:3" x14ac:dyDescent="0.2">
      <c r="A2" s="134" t="s">
        <v>83</v>
      </c>
      <c r="B2" s="136">
        <v>50</v>
      </c>
    </row>
    <row r="3" spans="1:3" ht="40" customHeight="1" x14ac:dyDescent="0.2">
      <c r="A3" s="135" t="s">
        <v>1</v>
      </c>
      <c r="B3" s="135" t="s">
        <v>0</v>
      </c>
      <c r="C3" s="135" t="s">
        <v>2</v>
      </c>
    </row>
    <row r="4" spans="1:3" x14ac:dyDescent="0.2">
      <c r="A4" s="3">
        <v>0</v>
      </c>
      <c r="B4" s="2">
        <f t="shared" ref="B4:B35" si="0">capital*(1+(A4*interest))</f>
        <v>50</v>
      </c>
      <c r="C4" s="2">
        <f t="shared" ref="C4:C35" si="1">capital*(1+interest)^A4</f>
        <v>50</v>
      </c>
    </row>
    <row r="5" spans="1:3" x14ac:dyDescent="0.2">
      <c r="A5" s="3">
        <v>1</v>
      </c>
      <c r="B5" s="2">
        <f t="shared" si="0"/>
        <v>50.5</v>
      </c>
      <c r="C5" s="2">
        <f t="shared" si="1"/>
        <v>50.5</v>
      </c>
    </row>
    <row r="6" spans="1:3" x14ac:dyDescent="0.2">
      <c r="A6" s="3">
        <v>2</v>
      </c>
      <c r="B6" s="2">
        <f t="shared" si="0"/>
        <v>51</v>
      </c>
      <c r="C6" s="2">
        <f t="shared" si="1"/>
        <v>51.005000000000003</v>
      </c>
    </row>
    <row r="7" spans="1:3" x14ac:dyDescent="0.2">
      <c r="A7" s="3">
        <v>3</v>
      </c>
      <c r="B7" s="2">
        <f t="shared" si="0"/>
        <v>51.5</v>
      </c>
      <c r="C7" s="2">
        <f t="shared" si="1"/>
        <v>51.515049999999995</v>
      </c>
    </row>
    <row r="8" spans="1:3" x14ac:dyDescent="0.2">
      <c r="A8" s="3">
        <v>4</v>
      </c>
      <c r="B8" s="2">
        <f t="shared" si="0"/>
        <v>52</v>
      </c>
      <c r="C8" s="2">
        <f t="shared" si="1"/>
        <v>52.030200499999999</v>
      </c>
    </row>
    <row r="9" spans="1:3" x14ac:dyDescent="0.2">
      <c r="A9" s="3">
        <v>5</v>
      </c>
      <c r="B9" s="2">
        <f t="shared" si="0"/>
        <v>52.5</v>
      </c>
      <c r="C9" s="2">
        <f t="shared" si="1"/>
        <v>52.550502504999997</v>
      </c>
    </row>
    <row r="10" spans="1:3" x14ac:dyDescent="0.2">
      <c r="A10" s="3">
        <v>6</v>
      </c>
      <c r="B10" s="2">
        <f t="shared" si="0"/>
        <v>53</v>
      </c>
      <c r="C10" s="2">
        <f t="shared" si="1"/>
        <v>53.076007530050006</v>
      </c>
    </row>
    <row r="11" spans="1:3" x14ac:dyDescent="0.2">
      <c r="A11" s="3">
        <v>7</v>
      </c>
      <c r="B11" s="2">
        <f t="shared" si="0"/>
        <v>53.5</v>
      </c>
      <c r="C11" s="2">
        <f t="shared" si="1"/>
        <v>53.606767605350491</v>
      </c>
    </row>
    <row r="12" spans="1:3" x14ac:dyDescent="0.2">
      <c r="A12" s="3">
        <v>8</v>
      </c>
      <c r="B12" s="2">
        <f t="shared" si="0"/>
        <v>54</v>
      </c>
      <c r="C12" s="2">
        <f t="shared" si="1"/>
        <v>54.142835281404011</v>
      </c>
    </row>
    <row r="13" spans="1:3" x14ac:dyDescent="0.2">
      <c r="A13" s="3">
        <v>9</v>
      </c>
      <c r="B13" s="2">
        <f t="shared" si="0"/>
        <v>54.500000000000007</v>
      </c>
      <c r="C13" s="2">
        <f t="shared" si="1"/>
        <v>54.684263634218055</v>
      </c>
    </row>
    <row r="14" spans="1:3" x14ac:dyDescent="0.2">
      <c r="A14" s="3">
        <v>10</v>
      </c>
      <c r="B14" s="2">
        <f t="shared" si="0"/>
        <v>55.000000000000007</v>
      </c>
      <c r="C14" s="2">
        <f t="shared" si="1"/>
        <v>55.23110627056024</v>
      </c>
    </row>
    <row r="15" spans="1:3" x14ac:dyDescent="0.2">
      <c r="A15" s="3">
        <v>11</v>
      </c>
      <c r="B15" s="2">
        <f t="shared" si="0"/>
        <v>55.500000000000007</v>
      </c>
      <c r="C15" s="2">
        <f t="shared" si="1"/>
        <v>55.783417333265831</v>
      </c>
    </row>
    <row r="16" spans="1:3" x14ac:dyDescent="0.2">
      <c r="A16" s="3">
        <v>12</v>
      </c>
      <c r="B16" s="2">
        <f t="shared" si="0"/>
        <v>56.000000000000007</v>
      </c>
      <c r="C16" s="2">
        <f t="shared" si="1"/>
        <v>56.341251506598489</v>
      </c>
    </row>
    <row r="17" spans="1:3" x14ac:dyDescent="0.2">
      <c r="A17" s="3">
        <v>13</v>
      </c>
      <c r="B17" s="2">
        <f t="shared" si="0"/>
        <v>56.499999999999993</v>
      </c>
      <c r="C17" s="2">
        <f t="shared" si="1"/>
        <v>56.904664021664473</v>
      </c>
    </row>
    <row r="18" spans="1:3" x14ac:dyDescent="0.2">
      <c r="A18" s="3">
        <v>14</v>
      </c>
      <c r="B18" s="2">
        <f t="shared" si="0"/>
        <v>57.000000000000007</v>
      </c>
      <c r="C18" s="2">
        <f t="shared" si="1"/>
        <v>57.473710661881128</v>
      </c>
    </row>
    <row r="19" spans="1:3" x14ac:dyDescent="0.2">
      <c r="A19" s="3">
        <v>15</v>
      </c>
      <c r="B19" s="2">
        <f t="shared" si="0"/>
        <v>57.499999999999993</v>
      </c>
      <c r="C19" s="2">
        <f t="shared" si="1"/>
        <v>58.048447768499919</v>
      </c>
    </row>
    <row r="20" spans="1:3" x14ac:dyDescent="0.2">
      <c r="A20" s="3">
        <v>16</v>
      </c>
      <c r="B20" s="2">
        <f t="shared" si="0"/>
        <v>57.999999999999993</v>
      </c>
      <c r="C20" s="2">
        <f t="shared" si="1"/>
        <v>58.628932246184938</v>
      </c>
    </row>
    <row r="21" spans="1:3" x14ac:dyDescent="0.2">
      <c r="A21" s="3">
        <v>17</v>
      </c>
      <c r="B21" s="2">
        <f t="shared" si="0"/>
        <v>58.5</v>
      </c>
      <c r="C21" s="2">
        <f t="shared" si="1"/>
        <v>59.21522156864679</v>
      </c>
    </row>
    <row r="22" spans="1:3" x14ac:dyDescent="0.2">
      <c r="A22" s="3">
        <v>18</v>
      </c>
      <c r="B22" s="2">
        <f t="shared" si="0"/>
        <v>59</v>
      </c>
      <c r="C22" s="2">
        <f t="shared" si="1"/>
        <v>59.807373784333265</v>
      </c>
    </row>
    <row r="23" spans="1:3" x14ac:dyDescent="0.2">
      <c r="A23" s="3">
        <v>19</v>
      </c>
      <c r="B23" s="2">
        <f t="shared" si="0"/>
        <v>59.5</v>
      </c>
      <c r="C23" s="2">
        <f t="shared" si="1"/>
        <v>60.40544752217658</v>
      </c>
    </row>
    <row r="24" spans="1:3" x14ac:dyDescent="0.2">
      <c r="A24" s="3">
        <v>20</v>
      </c>
      <c r="B24" s="2">
        <f t="shared" si="0"/>
        <v>60</v>
      </c>
      <c r="C24" s="2">
        <f t="shared" si="1"/>
        <v>61.009501997398353</v>
      </c>
    </row>
    <row r="25" spans="1:3" x14ac:dyDescent="0.2">
      <c r="A25" s="3">
        <v>21</v>
      </c>
      <c r="B25" s="2">
        <f t="shared" si="0"/>
        <v>60.5</v>
      </c>
      <c r="C25" s="2">
        <f t="shared" si="1"/>
        <v>61.619597017372328</v>
      </c>
    </row>
    <row r="26" spans="1:3" x14ac:dyDescent="0.2">
      <c r="A26" s="3">
        <v>22</v>
      </c>
      <c r="B26" s="2">
        <f t="shared" si="0"/>
        <v>61</v>
      </c>
      <c r="C26" s="2">
        <f t="shared" si="1"/>
        <v>62.23579298754607</v>
      </c>
    </row>
    <row r="27" spans="1:3" x14ac:dyDescent="0.2">
      <c r="A27" s="3">
        <v>23</v>
      </c>
      <c r="B27" s="2">
        <f t="shared" si="0"/>
        <v>61.5</v>
      </c>
      <c r="C27" s="2">
        <f t="shared" si="1"/>
        <v>62.858150917421518</v>
      </c>
    </row>
    <row r="28" spans="1:3" x14ac:dyDescent="0.2">
      <c r="A28" s="3">
        <v>24</v>
      </c>
      <c r="B28" s="2">
        <f t="shared" si="0"/>
        <v>62</v>
      </c>
      <c r="C28" s="2">
        <f t="shared" si="1"/>
        <v>63.486732426595751</v>
      </c>
    </row>
    <row r="29" spans="1:3" x14ac:dyDescent="0.2">
      <c r="A29" s="3">
        <v>25</v>
      </c>
      <c r="B29" s="2">
        <f t="shared" si="0"/>
        <v>62.5</v>
      </c>
      <c r="C29" s="2">
        <f t="shared" si="1"/>
        <v>64.121599750861719</v>
      </c>
    </row>
    <row r="30" spans="1:3" x14ac:dyDescent="0.2">
      <c r="A30" s="3">
        <v>26</v>
      </c>
      <c r="B30" s="2">
        <f t="shared" si="0"/>
        <v>63</v>
      </c>
      <c r="C30" s="2">
        <f t="shared" si="1"/>
        <v>64.762815748370329</v>
      </c>
    </row>
    <row r="31" spans="1:3" x14ac:dyDescent="0.2">
      <c r="A31" s="3">
        <v>27</v>
      </c>
      <c r="B31" s="2">
        <f t="shared" si="0"/>
        <v>63.5</v>
      </c>
      <c r="C31" s="2">
        <f t="shared" si="1"/>
        <v>65.410443905854009</v>
      </c>
    </row>
    <row r="32" spans="1:3" x14ac:dyDescent="0.2">
      <c r="A32" s="3">
        <v>28</v>
      </c>
      <c r="B32" s="2">
        <f t="shared" si="0"/>
        <v>64</v>
      </c>
      <c r="C32" s="2">
        <f t="shared" si="1"/>
        <v>66.064548344912552</v>
      </c>
    </row>
    <row r="33" spans="1:3" x14ac:dyDescent="0.2">
      <c r="A33" s="3">
        <v>29</v>
      </c>
      <c r="B33" s="2">
        <f t="shared" si="0"/>
        <v>64.5</v>
      </c>
      <c r="C33" s="2">
        <f t="shared" si="1"/>
        <v>66.725193828361682</v>
      </c>
    </row>
    <row r="34" spans="1:3" x14ac:dyDescent="0.2">
      <c r="A34" s="3">
        <v>30</v>
      </c>
      <c r="B34" s="2">
        <f t="shared" si="0"/>
        <v>65</v>
      </c>
      <c r="C34" s="2">
        <f t="shared" si="1"/>
        <v>67.392445766645309</v>
      </c>
    </row>
    <row r="35" spans="1:3" x14ac:dyDescent="0.2">
      <c r="A35" s="3">
        <v>31</v>
      </c>
      <c r="B35" s="2">
        <f t="shared" si="0"/>
        <v>65.5</v>
      </c>
      <c r="C35" s="2">
        <f t="shared" si="1"/>
        <v>68.06637022431174</v>
      </c>
    </row>
    <row r="36" spans="1:3" x14ac:dyDescent="0.2">
      <c r="A36" s="3">
        <v>32</v>
      </c>
      <c r="B36" s="2">
        <f t="shared" ref="B36:B67" si="2">capital*(1+(A36*interest))</f>
        <v>66</v>
      </c>
      <c r="C36" s="2">
        <f t="shared" ref="C36:C67" si="3">capital*(1+interest)^A36</f>
        <v>68.747033926554877</v>
      </c>
    </row>
    <row r="37" spans="1:3" x14ac:dyDescent="0.2">
      <c r="A37" s="3">
        <v>33</v>
      </c>
      <c r="B37" s="2">
        <f t="shared" si="2"/>
        <v>66.5</v>
      </c>
      <c r="C37" s="2">
        <f t="shared" si="3"/>
        <v>69.434504265820436</v>
      </c>
    </row>
    <row r="38" spans="1:3" x14ac:dyDescent="0.2">
      <c r="A38" s="3">
        <v>34</v>
      </c>
      <c r="B38" s="2">
        <f t="shared" si="2"/>
        <v>67</v>
      </c>
      <c r="C38" s="2">
        <f t="shared" si="3"/>
        <v>70.128849308478635</v>
      </c>
    </row>
    <row r="39" spans="1:3" x14ac:dyDescent="0.2">
      <c r="A39" s="3">
        <v>35</v>
      </c>
      <c r="B39" s="2">
        <f t="shared" si="2"/>
        <v>67.5</v>
      </c>
      <c r="C39" s="2">
        <f t="shared" si="3"/>
        <v>70.83013780156341</v>
      </c>
    </row>
    <row r="40" spans="1:3" x14ac:dyDescent="0.2">
      <c r="A40" s="3">
        <v>36</v>
      </c>
      <c r="B40" s="2">
        <f t="shared" si="2"/>
        <v>68</v>
      </c>
      <c r="C40" s="2">
        <f t="shared" si="3"/>
        <v>71.538439179579044</v>
      </c>
    </row>
    <row r="41" spans="1:3" x14ac:dyDescent="0.2">
      <c r="A41" s="3">
        <v>37</v>
      </c>
      <c r="B41" s="2">
        <f t="shared" si="2"/>
        <v>68.5</v>
      </c>
      <c r="C41" s="2">
        <f t="shared" si="3"/>
        <v>72.253823571374838</v>
      </c>
    </row>
    <row r="42" spans="1:3" x14ac:dyDescent="0.2">
      <c r="A42" s="3">
        <v>38</v>
      </c>
      <c r="B42" s="2">
        <f t="shared" si="2"/>
        <v>69</v>
      </c>
      <c r="C42" s="2">
        <f t="shared" si="3"/>
        <v>72.976361807088594</v>
      </c>
    </row>
    <row r="43" spans="1:3" x14ac:dyDescent="0.2">
      <c r="A43" s="3">
        <v>39</v>
      </c>
      <c r="B43" s="2">
        <f t="shared" si="2"/>
        <v>69.5</v>
      </c>
      <c r="C43" s="2">
        <f t="shared" si="3"/>
        <v>73.706125425159456</v>
      </c>
    </row>
    <row r="44" spans="1:3" x14ac:dyDescent="0.2">
      <c r="A44" s="3">
        <v>40</v>
      </c>
      <c r="B44" s="2">
        <f t="shared" si="2"/>
        <v>70</v>
      </c>
      <c r="C44" s="2">
        <f t="shared" si="3"/>
        <v>74.44318667941107</v>
      </c>
    </row>
    <row r="45" spans="1:3" x14ac:dyDescent="0.2">
      <c r="A45" s="3">
        <v>41</v>
      </c>
      <c r="B45" s="2">
        <f t="shared" si="2"/>
        <v>70.5</v>
      </c>
      <c r="C45" s="2">
        <f t="shared" si="3"/>
        <v>75.187618546205186</v>
      </c>
    </row>
    <row r="46" spans="1:3" x14ac:dyDescent="0.2">
      <c r="A46" s="3">
        <v>42</v>
      </c>
      <c r="B46" s="2">
        <f t="shared" si="2"/>
        <v>71</v>
      </c>
      <c r="C46" s="2">
        <f t="shared" si="3"/>
        <v>75.939494731667253</v>
      </c>
    </row>
    <row r="47" spans="1:3" x14ac:dyDescent="0.2">
      <c r="A47" s="3">
        <v>43</v>
      </c>
      <c r="B47" s="2">
        <f t="shared" si="2"/>
        <v>71.5</v>
      </c>
      <c r="C47" s="2">
        <f t="shared" si="3"/>
        <v>76.698889678983903</v>
      </c>
    </row>
    <row r="48" spans="1:3" x14ac:dyDescent="0.2">
      <c r="A48" s="3">
        <v>44</v>
      </c>
      <c r="B48" s="2">
        <f t="shared" si="2"/>
        <v>72</v>
      </c>
      <c r="C48" s="2">
        <f t="shared" si="3"/>
        <v>77.465878575773743</v>
      </c>
    </row>
    <row r="49" spans="1:3" x14ac:dyDescent="0.2">
      <c r="A49" s="3">
        <v>45</v>
      </c>
      <c r="B49" s="2">
        <f t="shared" si="2"/>
        <v>72.5</v>
      </c>
      <c r="C49" s="2">
        <f t="shared" si="3"/>
        <v>78.240537361531494</v>
      </c>
    </row>
    <row r="50" spans="1:3" x14ac:dyDescent="0.2">
      <c r="A50" s="3">
        <v>46</v>
      </c>
      <c r="B50" s="2">
        <f t="shared" si="2"/>
        <v>73</v>
      </c>
      <c r="C50" s="2">
        <f t="shared" si="3"/>
        <v>79.022942735146813</v>
      </c>
    </row>
    <row r="51" spans="1:3" x14ac:dyDescent="0.2">
      <c r="A51" s="3">
        <v>47</v>
      </c>
      <c r="B51" s="2">
        <f t="shared" si="2"/>
        <v>73.5</v>
      </c>
      <c r="C51" s="2">
        <f t="shared" si="3"/>
        <v>79.813172162498262</v>
      </c>
    </row>
    <row r="52" spans="1:3" x14ac:dyDescent="0.2">
      <c r="A52" s="3">
        <v>48</v>
      </c>
      <c r="B52" s="2">
        <f t="shared" si="2"/>
        <v>74</v>
      </c>
      <c r="C52" s="2">
        <f t="shared" si="3"/>
        <v>80.611303884123259</v>
      </c>
    </row>
    <row r="53" spans="1:3" x14ac:dyDescent="0.2">
      <c r="A53" s="3">
        <v>49</v>
      </c>
      <c r="B53" s="2">
        <f t="shared" si="2"/>
        <v>74.5</v>
      </c>
      <c r="C53" s="2">
        <f t="shared" si="3"/>
        <v>81.417416922964506</v>
      </c>
    </row>
    <row r="54" spans="1:3" x14ac:dyDescent="0.2">
      <c r="A54" s="3">
        <v>50</v>
      </c>
      <c r="B54" s="2">
        <f t="shared" si="2"/>
        <v>75</v>
      </c>
      <c r="C54" s="2">
        <f t="shared" si="3"/>
        <v>82.231591092194151</v>
      </c>
    </row>
    <row r="55" spans="1:3" x14ac:dyDescent="0.2">
      <c r="A55" s="3">
        <v>51</v>
      </c>
      <c r="B55" s="2">
        <f t="shared" si="2"/>
        <v>75.5</v>
      </c>
      <c r="C55" s="2">
        <f t="shared" si="3"/>
        <v>83.05390700311608</v>
      </c>
    </row>
    <row r="56" spans="1:3" x14ac:dyDescent="0.2">
      <c r="A56" s="3">
        <v>52</v>
      </c>
      <c r="B56" s="2">
        <f t="shared" si="2"/>
        <v>76</v>
      </c>
      <c r="C56" s="2">
        <f t="shared" si="3"/>
        <v>83.884446073147245</v>
      </c>
    </row>
    <row r="57" spans="1:3" x14ac:dyDescent="0.2">
      <c r="A57" s="3">
        <v>53</v>
      </c>
      <c r="B57" s="2">
        <f t="shared" si="2"/>
        <v>76.5</v>
      </c>
      <c r="C57" s="2">
        <f t="shared" si="3"/>
        <v>84.723290533878696</v>
      </c>
    </row>
    <row r="58" spans="1:3" x14ac:dyDescent="0.2">
      <c r="A58" s="3">
        <v>54</v>
      </c>
      <c r="B58" s="2">
        <f t="shared" si="2"/>
        <v>77</v>
      </c>
      <c r="C58" s="2">
        <f t="shared" si="3"/>
        <v>85.57052343921751</v>
      </c>
    </row>
    <row r="59" spans="1:3" x14ac:dyDescent="0.2">
      <c r="A59" s="3">
        <v>55</v>
      </c>
      <c r="B59" s="2">
        <f t="shared" si="2"/>
        <v>77.5</v>
      </c>
      <c r="C59" s="2">
        <f t="shared" si="3"/>
        <v>86.426228673609671</v>
      </c>
    </row>
    <row r="60" spans="1:3" x14ac:dyDescent="0.2">
      <c r="A60" s="3">
        <v>56</v>
      </c>
      <c r="B60" s="2">
        <f t="shared" si="2"/>
        <v>78</v>
      </c>
      <c r="C60" s="2">
        <f t="shared" si="3"/>
        <v>87.290490960345792</v>
      </c>
    </row>
    <row r="61" spans="1:3" x14ac:dyDescent="0.2">
      <c r="A61" s="3">
        <v>57</v>
      </c>
      <c r="B61" s="2">
        <f t="shared" si="2"/>
        <v>78.5</v>
      </c>
      <c r="C61" s="2">
        <f t="shared" si="3"/>
        <v>88.163395869949255</v>
      </c>
    </row>
    <row r="62" spans="1:3" x14ac:dyDescent="0.2">
      <c r="A62" s="3">
        <v>58</v>
      </c>
      <c r="B62" s="2">
        <f t="shared" si="2"/>
        <v>79</v>
      </c>
      <c r="C62" s="2">
        <f t="shared" si="3"/>
        <v>89.045029828648751</v>
      </c>
    </row>
    <row r="63" spans="1:3" x14ac:dyDescent="0.2">
      <c r="A63" s="3">
        <v>59</v>
      </c>
      <c r="B63" s="2">
        <f t="shared" si="2"/>
        <v>79.5</v>
      </c>
      <c r="C63" s="2">
        <f t="shared" si="3"/>
        <v>89.935480126935204</v>
      </c>
    </row>
    <row r="64" spans="1:3" x14ac:dyDescent="0.2">
      <c r="A64" s="3">
        <v>60</v>
      </c>
      <c r="B64" s="2">
        <f t="shared" si="2"/>
        <v>80</v>
      </c>
      <c r="C64" s="2">
        <f t="shared" si="3"/>
        <v>90.834834928204572</v>
      </c>
    </row>
    <row r="65" spans="1:3" x14ac:dyDescent="0.2">
      <c r="A65" s="3">
        <v>61</v>
      </c>
      <c r="B65" s="2">
        <f t="shared" si="2"/>
        <v>80.5</v>
      </c>
      <c r="C65" s="2">
        <f t="shared" si="3"/>
        <v>91.743183277486622</v>
      </c>
    </row>
    <row r="66" spans="1:3" x14ac:dyDescent="0.2">
      <c r="A66" s="3">
        <v>62</v>
      </c>
      <c r="B66" s="2">
        <f t="shared" si="2"/>
        <v>81</v>
      </c>
      <c r="C66" s="2">
        <f t="shared" si="3"/>
        <v>92.660615110261503</v>
      </c>
    </row>
    <row r="67" spans="1:3" x14ac:dyDescent="0.2">
      <c r="A67" s="3">
        <v>63</v>
      </c>
      <c r="B67" s="2">
        <f t="shared" si="2"/>
        <v>81.5</v>
      </c>
      <c r="C67" s="2">
        <f t="shared" si="3"/>
        <v>93.587221261364078</v>
      </c>
    </row>
    <row r="68" spans="1:3" x14ac:dyDescent="0.2">
      <c r="A68" s="3">
        <v>64</v>
      </c>
      <c r="B68" s="2">
        <f t="shared" ref="B68:B99" si="4">capital*(1+(A68*interest))</f>
        <v>82</v>
      </c>
      <c r="C68" s="2">
        <f t="shared" ref="C68:C99" si="5">capital*(1+interest)^A68</f>
        <v>94.523093473977752</v>
      </c>
    </row>
    <row r="69" spans="1:3" x14ac:dyDescent="0.2">
      <c r="A69" s="3">
        <v>65</v>
      </c>
      <c r="B69" s="2">
        <f t="shared" si="4"/>
        <v>82.5</v>
      </c>
      <c r="C69" s="2">
        <f t="shared" si="5"/>
        <v>95.468324408717535</v>
      </c>
    </row>
    <row r="70" spans="1:3" x14ac:dyDescent="0.2">
      <c r="A70" s="3">
        <v>66</v>
      </c>
      <c r="B70" s="2">
        <f t="shared" si="4"/>
        <v>83</v>
      </c>
      <c r="C70" s="2">
        <f t="shared" si="5"/>
        <v>96.423007652804699</v>
      </c>
    </row>
    <row r="71" spans="1:3" x14ac:dyDescent="0.2">
      <c r="A71" s="3">
        <v>67</v>
      </c>
      <c r="B71" s="2">
        <f t="shared" si="4"/>
        <v>83.5</v>
      </c>
      <c r="C71" s="2">
        <f t="shared" si="5"/>
        <v>97.387237729332739</v>
      </c>
    </row>
    <row r="72" spans="1:3" x14ac:dyDescent="0.2">
      <c r="A72" s="3">
        <v>68</v>
      </c>
      <c r="B72" s="2">
        <f t="shared" si="4"/>
        <v>84.000000000000014</v>
      </c>
      <c r="C72" s="2">
        <f t="shared" si="5"/>
        <v>98.361110106626086</v>
      </c>
    </row>
    <row r="73" spans="1:3" x14ac:dyDescent="0.2">
      <c r="A73" s="3">
        <v>69</v>
      </c>
      <c r="B73" s="2">
        <f t="shared" si="4"/>
        <v>84.5</v>
      </c>
      <c r="C73" s="2">
        <f t="shared" si="5"/>
        <v>99.344721207692331</v>
      </c>
    </row>
    <row r="74" spans="1:3" x14ac:dyDescent="0.2">
      <c r="A74" s="3">
        <v>70</v>
      </c>
      <c r="B74" s="2">
        <f t="shared" si="4"/>
        <v>85.000000000000014</v>
      </c>
      <c r="C74" s="2">
        <f t="shared" si="5"/>
        <v>100.33816841976927</v>
      </c>
    </row>
    <row r="75" spans="1:3" x14ac:dyDescent="0.2">
      <c r="A75" s="3">
        <v>71</v>
      </c>
      <c r="B75" s="2">
        <f t="shared" si="4"/>
        <v>85.5</v>
      </c>
      <c r="C75" s="2">
        <f t="shared" si="5"/>
        <v>101.34155010396692</v>
      </c>
    </row>
    <row r="76" spans="1:3" x14ac:dyDescent="0.2">
      <c r="A76" s="3">
        <v>72</v>
      </c>
      <c r="B76" s="2">
        <f t="shared" si="4"/>
        <v>86</v>
      </c>
      <c r="C76" s="2">
        <f t="shared" si="5"/>
        <v>102.35496560500663</v>
      </c>
    </row>
    <row r="77" spans="1:3" x14ac:dyDescent="0.2">
      <c r="A77" s="3">
        <v>73</v>
      </c>
      <c r="B77" s="2">
        <f t="shared" si="4"/>
        <v>86.5</v>
      </c>
      <c r="C77" s="2">
        <f t="shared" si="5"/>
        <v>103.37851526105671</v>
      </c>
    </row>
    <row r="78" spans="1:3" x14ac:dyDescent="0.2">
      <c r="A78" s="3">
        <v>74</v>
      </c>
      <c r="B78" s="2">
        <f t="shared" si="4"/>
        <v>87</v>
      </c>
      <c r="C78" s="2">
        <f t="shared" si="5"/>
        <v>104.41230041366727</v>
      </c>
    </row>
    <row r="79" spans="1:3" x14ac:dyDescent="0.2">
      <c r="A79" s="3">
        <v>75</v>
      </c>
      <c r="B79" s="2">
        <f t="shared" si="4"/>
        <v>87.5</v>
      </c>
      <c r="C79" s="2">
        <f t="shared" si="5"/>
        <v>105.45642341780392</v>
      </c>
    </row>
    <row r="80" spans="1:3" x14ac:dyDescent="0.2">
      <c r="A80" s="3">
        <v>76</v>
      </c>
      <c r="B80" s="2">
        <f t="shared" si="4"/>
        <v>88</v>
      </c>
      <c r="C80" s="2">
        <f t="shared" si="5"/>
        <v>106.51098765198196</v>
      </c>
    </row>
    <row r="81" spans="1:3" x14ac:dyDescent="0.2">
      <c r="A81" s="3">
        <v>77</v>
      </c>
      <c r="B81" s="2">
        <f t="shared" si="4"/>
        <v>88.5</v>
      </c>
      <c r="C81" s="2">
        <f t="shared" si="5"/>
        <v>107.57609752850179</v>
      </c>
    </row>
    <row r="82" spans="1:3" x14ac:dyDescent="0.2">
      <c r="A82" s="3">
        <v>78</v>
      </c>
      <c r="B82" s="2">
        <f t="shared" si="4"/>
        <v>89</v>
      </c>
      <c r="C82" s="2">
        <f t="shared" si="5"/>
        <v>108.65185850378683</v>
      </c>
    </row>
    <row r="83" spans="1:3" x14ac:dyDescent="0.2">
      <c r="A83" s="3">
        <v>79</v>
      </c>
      <c r="B83" s="2">
        <f t="shared" si="4"/>
        <v>89.5</v>
      </c>
      <c r="C83" s="2">
        <f t="shared" si="5"/>
        <v>109.73837708882466</v>
      </c>
    </row>
    <row r="84" spans="1:3" x14ac:dyDescent="0.2">
      <c r="A84" s="3">
        <v>80</v>
      </c>
      <c r="B84" s="2">
        <f t="shared" si="4"/>
        <v>90</v>
      </c>
      <c r="C84" s="2">
        <f t="shared" si="5"/>
        <v>110.83576085971293</v>
      </c>
    </row>
    <row r="85" spans="1:3" x14ac:dyDescent="0.2">
      <c r="A85" s="3">
        <v>81</v>
      </c>
      <c r="B85" s="2">
        <f t="shared" si="4"/>
        <v>90.5</v>
      </c>
      <c r="C85" s="2">
        <f t="shared" si="5"/>
        <v>111.94411846831007</v>
      </c>
    </row>
    <row r="86" spans="1:3" x14ac:dyDescent="0.2">
      <c r="A86" s="3">
        <v>82</v>
      </c>
      <c r="B86" s="2">
        <f t="shared" si="4"/>
        <v>91</v>
      </c>
      <c r="C86" s="2">
        <f t="shared" si="5"/>
        <v>113.06355965299319</v>
      </c>
    </row>
    <row r="87" spans="1:3" x14ac:dyDescent="0.2">
      <c r="A87" s="3">
        <v>83</v>
      </c>
      <c r="B87" s="2">
        <f t="shared" si="4"/>
        <v>91.5</v>
      </c>
      <c r="C87" s="2">
        <f t="shared" si="5"/>
        <v>114.1941952495231</v>
      </c>
    </row>
    <row r="88" spans="1:3" x14ac:dyDescent="0.2">
      <c r="A88" s="3">
        <v>84</v>
      </c>
      <c r="B88" s="2">
        <f t="shared" si="4"/>
        <v>92</v>
      </c>
      <c r="C88" s="2">
        <f t="shared" si="5"/>
        <v>115.33613720201834</v>
      </c>
    </row>
    <row r="89" spans="1:3" x14ac:dyDescent="0.2">
      <c r="A89" s="3">
        <v>85</v>
      </c>
      <c r="B89" s="2">
        <f t="shared" si="4"/>
        <v>92.5</v>
      </c>
      <c r="C89" s="2">
        <f t="shared" si="5"/>
        <v>116.48949857403849</v>
      </c>
    </row>
    <row r="90" spans="1:3" x14ac:dyDescent="0.2">
      <c r="A90" s="3">
        <v>86</v>
      </c>
      <c r="B90" s="2">
        <f t="shared" si="4"/>
        <v>93</v>
      </c>
      <c r="C90" s="2">
        <f t="shared" si="5"/>
        <v>117.65439355977891</v>
      </c>
    </row>
    <row r="91" spans="1:3" x14ac:dyDescent="0.2">
      <c r="A91" s="3">
        <v>87</v>
      </c>
      <c r="B91" s="2">
        <f t="shared" si="4"/>
        <v>93.5</v>
      </c>
      <c r="C91" s="2">
        <f t="shared" si="5"/>
        <v>118.83093749537667</v>
      </c>
    </row>
    <row r="92" spans="1:3" x14ac:dyDescent="0.2">
      <c r="A92" s="3">
        <v>88</v>
      </c>
      <c r="B92" s="2">
        <f t="shared" si="4"/>
        <v>94</v>
      </c>
      <c r="C92" s="2">
        <f t="shared" si="5"/>
        <v>120.01924687033048</v>
      </c>
    </row>
    <row r="93" spans="1:3" x14ac:dyDescent="0.2">
      <c r="A93" s="3">
        <v>89</v>
      </c>
      <c r="B93" s="2">
        <f t="shared" si="4"/>
        <v>94.5</v>
      </c>
      <c r="C93" s="2">
        <f t="shared" si="5"/>
        <v>121.21943933903381</v>
      </c>
    </row>
    <row r="94" spans="1:3" x14ac:dyDescent="0.2">
      <c r="A94" s="3">
        <v>90</v>
      </c>
      <c r="B94" s="2">
        <f t="shared" si="4"/>
        <v>95</v>
      </c>
      <c r="C94" s="2">
        <f t="shared" si="5"/>
        <v>122.43163373242413</v>
      </c>
    </row>
    <row r="95" spans="1:3" x14ac:dyDescent="0.2">
      <c r="A95" s="3">
        <v>91</v>
      </c>
      <c r="B95" s="2">
        <f t="shared" si="4"/>
        <v>95.5</v>
      </c>
      <c r="C95" s="2">
        <f t="shared" si="5"/>
        <v>123.65595006974834</v>
      </c>
    </row>
    <row r="96" spans="1:3" x14ac:dyDescent="0.2">
      <c r="A96" s="3">
        <v>92</v>
      </c>
      <c r="B96" s="2">
        <f t="shared" si="4"/>
        <v>96</v>
      </c>
      <c r="C96" s="2">
        <f t="shared" si="5"/>
        <v>124.89250957044582</v>
      </c>
    </row>
    <row r="97" spans="1:3" x14ac:dyDescent="0.2">
      <c r="A97" s="3">
        <v>93</v>
      </c>
      <c r="B97" s="2">
        <f t="shared" si="4"/>
        <v>96.500000000000014</v>
      </c>
      <c r="C97" s="2">
        <f t="shared" si="5"/>
        <v>126.14143466615029</v>
      </c>
    </row>
    <row r="98" spans="1:3" x14ac:dyDescent="0.2">
      <c r="A98" s="3">
        <v>94</v>
      </c>
      <c r="B98" s="2">
        <f t="shared" si="4"/>
        <v>97</v>
      </c>
      <c r="C98" s="2">
        <f t="shared" si="5"/>
        <v>127.40284901281183</v>
      </c>
    </row>
    <row r="99" spans="1:3" x14ac:dyDescent="0.2">
      <c r="A99" s="3">
        <v>95</v>
      </c>
      <c r="B99" s="2">
        <f t="shared" si="4"/>
        <v>97.500000000000014</v>
      </c>
      <c r="C99" s="2">
        <f t="shared" si="5"/>
        <v>128.6768775029399</v>
      </c>
    </row>
    <row r="100" spans="1:3" x14ac:dyDescent="0.2">
      <c r="A100" s="3">
        <v>96</v>
      </c>
      <c r="B100" s="2">
        <f t="shared" ref="B100:B131" si="6">capital*(1+(A100*interest))</f>
        <v>98</v>
      </c>
      <c r="C100" s="2">
        <f t="shared" ref="C100:C131" si="7">capital*(1+interest)^A100</f>
        <v>129.96364627796933</v>
      </c>
    </row>
    <row r="101" spans="1:3" x14ac:dyDescent="0.2">
      <c r="A101" s="3">
        <v>97</v>
      </c>
      <c r="B101" s="2">
        <f t="shared" si="6"/>
        <v>98.5</v>
      </c>
      <c r="C101" s="2">
        <f t="shared" si="7"/>
        <v>131.26328274074902</v>
      </c>
    </row>
    <row r="102" spans="1:3" x14ac:dyDescent="0.2">
      <c r="A102" s="3">
        <v>98</v>
      </c>
      <c r="B102" s="2">
        <f t="shared" si="6"/>
        <v>99</v>
      </c>
      <c r="C102" s="2">
        <f t="shared" si="7"/>
        <v>132.57591556815652</v>
      </c>
    </row>
    <row r="103" spans="1:3" x14ac:dyDescent="0.2">
      <c r="A103" s="3">
        <v>99</v>
      </c>
      <c r="B103" s="2">
        <f t="shared" si="6"/>
        <v>99.5</v>
      </c>
      <c r="C103" s="2">
        <f t="shared" si="7"/>
        <v>133.90167472383806</v>
      </c>
    </row>
    <row r="104" spans="1:3" x14ac:dyDescent="0.2">
      <c r="A104" s="3">
        <v>100</v>
      </c>
      <c r="B104" s="2">
        <f t="shared" si="6"/>
        <v>100</v>
      </c>
      <c r="C104" s="2">
        <f t="shared" si="7"/>
        <v>135.24069147107645</v>
      </c>
    </row>
    <row r="105" spans="1:3" x14ac:dyDescent="0.2">
      <c r="A105" s="3">
        <v>101</v>
      </c>
      <c r="B105" s="2">
        <f t="shared" si="6"/>
        <v>100.49999999999999</v>
      </c>
      <c r="C105" s="2">
        <f t="shared" si="7"/>
        <v>136.59309838578721</v>
      </c>
    </row>
    <row r="106" spans="1:3" x14ac:dyDescent="0.2">
      <c r="A106" s="3">
        <v>102</v>
      </c>
      <c r="B106" s="2">
        <f t="shared" si="6"/>
        <v>101</v>
      </c>
      <c r="C106" s="2">
        <f t="shared" si="7"/>
        <v>137.95902936964509</v>
      </c>
    </row>
    <row r="107" spans="1:3" x14ac:dyDescent="0.2">
      <c r="A107" s="3">
        <v>103</v>
      </c>
      <c r="B107" s="2">
        <f t="shared" si="6"/>
        <v>101.50000000000001</v>
      </c>
      <c r="C107" s="2">
        <f t="shared" si="7"/>
        <v>139.33861966334152</v>
      </c>
    </row>
    <row r="108" spans="1:3" x14ac:dyDescent="0.2">
      <c r="A108" s="3">
        <v>104</v>
      </c>
      <c r="B108" s="2">
        <f t="shared" si="6"/>
        <v>102</v>
      </c>
      <c r="C108" s="2">
        <f t="shared" si="7"/>
        <v>140.73200585997498</v>
      </c>
    </row>
    <row r="109" spans="1:3" x14ac:dyDescent="0.2">
      <c r="A109" s="3">
        <v>105</v>
      </c>
      <c r="B109" s="2">
        <f t="shared" si="6"/>
        <v>102.49999999999999</v>
      </c>
      <c r="C109" s="2">
        <f t="shared" si="7"/>
        <v>142.13932591857471</v>
      </c>
    </row>
    <row r="110" spans="1:3" x14ac:dyDescent="0.2">
      <c r="A110" s="3">
        <v>106</v>
      </c>
      <c r="B110" s="2">
        <f t="shared" si="6"/>
        <v>103</v>
      </c>
      <c r="C110" s="2">
        <f t="shared" si="7"/>
        <v>143.56071917776049</v>
      </c>
    </row>
    <row r="111" spans="1:3" x14ac:dyDescent="0.2">
      <c r="A111" s="3">
        <v>107</v>
      </c>
      <c r="B111" s="2">
        <f t="shared" si="6"/>
        <v>103.50000000000001</v>
      </c>
      <c r="C111" s="2">
        <f t="shared" si="7"/>
        <v>144.99632636953805</v>
      </c>
    </row>
    <row r="112" spans="1:3" x14ac:dyDescent="0.2">
      <c r="A112" s="3">
        <v>108</v>
      </c>
      <c r="B112" s="2">
        <f t="shared" si="6"/>
        <v>104</v>
      </c>
      <c r="C112" s="2">
        <f t="shared" si="7"/>
        <v>146.44628963323345</v>
      </c>
    </row>
    <row r="113" spans="1:3" x14ac:dyDescent="0.2">
      <c r="A113" s="3">
        <v>109</v>
      </c>
      <c r="B113" s="2">
        <f t="shared" si="6"/>
        <v>104.5</v>
      </c>
      <c r="C113" s="2">
        <f t="shared" si="7"/>
        <v>147.9107525295658</v>
      </c>
    </row>
    <row r="114" spans="1:3" x14ac:dyDescent="0.2">
      <c r="A114" s="3">
        <v>110</v>
      </c>
      <c r="B114" s="2">
        <f t="shared" si="6"/>
        <v>105</v>
      </c>
      <c r="C114" s="2">
        <f t="shared" si="7"/>
        <v>149.38986005486149</v>
      </c>
    </row>
    <row r="115" spans="1:3" x14ac:dyDescent="0.2">
      <c r="A115" s="3">
        <v>111</v>
      </c>
      <c r="B115" s="2">
        <f t="shared" si="6"/>
        <v>105.50000000000001</v>
      </c>
      <c r="C115" s="2">
        <f t="shared" si="7"/>
        <v>150.88375865541005</v>
      </c>
    </row>
    <row r="116" spans="1:3" x14ac:dyDescent="0.2">
      <c r="A116" s="3">
        <v>112</v>
      </c>
      <c r="B116" s="2">
        <f t="shared" si="6"/>
        <v>106</v>
      </c>
      <c r="C116" s="2">
        <f t="shared" si="7"/>
        <v>152.39259624196418</v>
      </c>
    </row>
    <row r="117" spans="1:3" x14ac:dyDescent="0.2">
      <c r="A117" s="3">
        <v>113</v>
      </c>
      <c r="B117" s="2">
        <f t="shared" si="6"/>
        <v>106.5</v>
      </c>
      <c r="C117" s="2">
        <f t="shared" si="7"/>
        <v>153.91652220438382</v>
      </c>
    </row>
    <row r="118" spans="1:3" x14ac:dyDescent="0.2">
      <c r="A118" s="3">
        <v>114</v>
      </c>
      <c r="B118" s="2">
        <f t="shared" si="6"/>
        <v>107</v>
      </c>
      <c r="C118" s="2">
        <f t="shared" si="7"/>
        <v>155.45568742642769</v>
      </c>
    </row>
    <row r="119" spans="1:3" x14ac:dyDescent="0.2">
      <c r="A119" s="3">
        <v>115</v>
      </c>
      <c r="B119" s="2">
        <f t="shared" si="6"/>
        <v>107.50000000000001</v>
      </c>
      <c r="C119" s="2">
        <f t="shared" si="7"/>
        <v>157.01024430069194</v>
      </c>
    </row>
    <row r="120" spans="1:3" x14ac:dyDescent="0.2">
      <c r="A120" s="3">
        <v>116</v>
      </c>
      <c r="B120" s="2">
        <f t="shared" si="6"/>
        <v>108</v>
      </c>
      <c r="C120" s="2">
        <f t="shared" si="7"/>
        <v>158.58034674369884</v>
      </c>
    </row>
    <row r="121" spans="1:3" x14ac:dyDescent="0.2">
      <c r="A121" s="3">
        <v>117</v>
      </c>
      <c r="B121" s="2">
        <f t="shared" si="6"/>
        <v>108.5</v>
      </c>
      <c r="C121" s="2">
        <f t="shared" si="7"/>
        <v>160.16615021113583</v>
      </c>
    </row>
    <row r="122" spans="1:3" x14ac:dyDescent="0.2">
      <c r="A122" s="3">
        <v>118</v>
      </c>
      <c r="B122" s="2">
        <f t="shared" si="6"/>
        <v>108.99999999999999</v>
      </c>
      <c r="C122" s="2">
        <f t="shared" si="7"/>
        <v>161.76781171324723</v>
      </c>
    </row>
    <row r="123" spans="1:3" x14ac:dyDescent="0.2">
      <c r="A123" s="3">
        <v>119</v>
      </c>
      <c r="B123" s="2">
        <f t="shared" si="6"/>
        <v>109.5</v>
      </c>
      <c r="C123" s="2">
        <f t="shared" si="7"/>
        <v>163.38548983037967</v>
      </c>
    </row>
    <row r="124" spans="1:3" x14ac:dyDescent="0.2">
      <c r="A124" s="3">
        <v>120</v>
      </c>
      <c r="B124" s="2">
        <f t="shared" si="6"/>
        <v>110.00000000000001</v>
      </c>
      <c r="C124" s="2">
        <f t="shared" si="7"/>
        <v>165.01934472868351</v>
      </c>
    </row>
    <row r="125" spans="1:3" x14ac:dyDescent="0.2">
      <c r="A125" s="3">
        <v>121</v>
      </c>
      <c r="B125" s="2">
        <f t="shared" si="6"/>
        <v>110.5</v>
      </c>
      <c r="C125" s="2">
        <f t="shared" si="7"/>
        <v>166.66953817597033</v>
      </c>
    </row>
    <row r="126" spans="1:3" x14ac:dyDescent="0.2">
      <c r="A126" s="3">
        <v>122</v>
      </c>
      <c r="B126" s="2">
        <f t="shared" si="6"/>
        <v>110.99999999999999</v>
      </c>
      <c r="C126" s="2">
        <f t="shared" si="7"/>
        <v>168.33623355773005</v>
      </c>
    </row>
    <row r="127" spans="1:3" x14ac:dyDescent="0.2">
      <c r="A127" s="3">
        <v>123</v>
      </c>
      <c r="B127" s="2">
        <f t="shared" si="6"/>
        <v>111.5</v>
      </c>
      <c r="C127" s="2">
        <f t="shared" si="7"/>
        <v>170.0195958933073</v>
      </c>
    </row>
    <row r="128" spans="1:3" x14ac:dyDescent="0.2">
      <c r="A128" s="3">
        <v>124</v>
      </c>
      <c r="B128" s="2">
        <f t="shared" si="6"/>
        <v>112.00000000000001</v>
      </c>
      <c r="C128" s="2">
        <f t="shared" si="7"/>
        <v>171.71979185224038</v>
      </c>
    </row>
    <row r="129" spans="1:3" x14ac:dyDescent="0.2">
      <c r="A129" s="3">
        <v>125</v>
      </c>
      <c r="B129" s="2">
        <f t="shared" si="6"/>
        <v>112.5</v>
      </c>
      <c r="C129" s="2">
        <f t="shared" si="7"/>
        <v>173.43698977076281</v>
      </c>
    </row>
    <row r="130" spans="1:3" x14ac:dyDescent="0.2">
      <c r="A130" s="3">
        <v>126</v>
      </c>
      <c r="B130" s="2">
        <f t="shared" si="6"/>
        <v>112.99999999999999</v>
      </c>
      <c r="C130" s="2">
        <f t="shared" si="7"/>
        <v>175.17135966847047</v>
      </c>
    </row>
    <row r="131" spans="1:3" x14ac:dyDescent="0.2">
      <c r="A131" s="3">
        <v>127</v>
      </c>
      <c r="B131" s="2">
        <f t="shared" si="6"/>
        <v>113.5</v>
      </c>
      <c r="C131" s="2">
        <f t="shared" si="7"/>
        <v>176.9230732651551</v>
      </c>
    </row>
    <row r="132" spans="1:3" x14ac:dyDescent="0.2">
      <c r="A132" s="3">
        <v>128</v>
      </c>
      <c r="B132" s="2">
        <f t="shared" ref="B132:B154" si="8">capital*(1+(A132*interest))</f>
        <v>114.00000000000001</v>
      </c>
      <c r="C132" s="2">
        <f t="shared" ref="C132:C154" si="9">capital*(1+interest)^A132</f>
        <v>178.69230399780668</v>
      </c>
    </row>
    <row r="133" spans="1:3" x14ac:dyDescent="0.2">
      <c r="A133" s="3">
        <v>129</v>
      </c>
      <c r="B133" s="2">
        <f t="shared" si="8"/>
        <v>114.5</v>
      </c>
      <c r="C133" s="2">
        <f t="shared" si="9"/>
        <v>180.47922703778477</v>
      </c>
    </row>
    <row r="134" spans="1:3" x14ac:dyDescent="0.2">
      <c r="A134" s="3">
        <v>130</v>
      </c>
      <c r="B134" s="2">
        <f t="shared" si="8"/>
        <v>114.99999999999999</v>
      </c>
      <c r="C134" s="2">
        <f t="shared" si="9"/>
        <v>182.28401930816261</v>
      </c>
    </row>
    <row r="135" spans="1:3" x14ac:dyDescent="0.2">
      <c r="A135" s="3">
        <v>131</v>
      </c>
      <c r="B135" s="2">
        <f t="shared" si="8"/>
        <v>115.5</v>
      </c>
      <c r="C135" s="2">
        <f t="shared" si="9"/>
        <v>184.1068595012442</v>
      </c>
    </row>
    <row r="136" spans="1:3" x14ac:dyDescent="0.2">
      <c r="A136" s="3">
        <v>132</v>
      </c>
      <c r="B136" s="2">
        <f t="shared" si="8"/>
        <v>116.00000000000001</v>
      </c>
      <c r="C136" s="2">
        <f t="shared" si="9"/>
        <v>185.94792809625667</v>
      </c>
    </row>
    <row r="137" spans="1:3" x14ac:dyDescent="0.2">
      <c r="A137" s="3">
        <v>133</v>
      </c>
      <c r="B137" s="2">
        <f t="shared" si="8"/>
        <v>116.5</v>
      </c>
      <c r="C137" s="2">
        <f t="shared" si="9"/>
        <v>187.80740737721922</v>
      </c>
    </row>
    <row r="138" spans="1:3" x14ac:dyDescent="0.2">
      <c r="A138" s="3">
        <v>134</v>
      </c>
      <c r="B138" s="2">
        <f t="shared" si="8"/>
        <v>117</v>
      </c>
      <c r="C138" s="2">
        <f t="shared" si="9"/>
        <v>189.68548145099143</v>
      </c>
    </row>
    <row r="139" spans="1:3" x14ac:dyDescent="0.2">
      <c r="A139" s="3">
        <v>135</v>
      </c>
      <c r="B139" s="2">
        <f t="shared" si="8"/>
        <v>117.5</v>
      </c>
      <c r="C139" s="2">
        <f t="shared" si="9"/>
        <v>191.58233626550131</v>
      </c>
    </row>
    <row r="140" spans="1:3" x14ac:dyDescent="0.2">
      <c r="A140" s="3">
        <v>136</v>
      </c>
      <c r="B140" s="2">
        <f t="shared" si="8"/>
        <v>118.00000000000001</v>
      </c>
      <c r="C140" s="2">
        <f t="shared" si="9"/>
        <v>193.49815962815637</v>
      </c>
    </row>
    <row r="141" spans="1:3" x14ac:dyDescent="0.2">
      <c r="A141" s="3">
        <v>137</v>
      </c>
      <c r="B141" s="2">
        <f t="shared" si="8"/>
        <v>118.5</v>
      </c>
      <c r="C141" s="2">
        <f t="shared" si="9"/>
        <v>195.43314122443795</v>
      </c>
    </row>
    <row r="142" spans="1:3" x14ac:dyDescent="0.2">
      <c r="A142" s="3">
        <v>138</v>
      </c>
      <c r="B142" s="2">
        <f t="shared" si="8"/>
        <v>119</v>
      </c>
      <c r="C142" s="2">
        <f t="shared" si="9"/>
        <v>197.38747263668236</v>
      </c>
    </row>
    <row r="143" spans="1:3" x14ac:dyDescent="0.2">
      <c r="A143" s="3">
        <v>139</v>
      </c>
      <c r="B143" s="2">
        <f t="shared" si="8"/>
        <v>119.5</v>
      </c>
      <c r="C143" s="2">
        <f t="shared" si="9"/>
        <v>199.36134736304913</v>
      </c>
    </row>
    <row r="144" spans="1:3" x14ac:dyDescent="0.2">
      <c r="A144" s="3">
        <v>140</v>
      </c>
      <c r="B144" s="2">
        <f t="shared" si="8"/>
        <v>120.00000000000001</v>
      </c>
      <c r="C144" s="2">
        <f t="shared" si="9"/>
        <v>201.35496083667962</v>
      </c>
    </row>
    <row r="145" spans="1:3" x14ac:dyDescent="0.2">
      <c r="A145" s="3">
        <v>141</v>
      </c>
      <c r="B145" s="2">
        <f t="shared" si="8"/>
        <v>120.5</v>
      </c>
      <c r="C145" s="2">
        <f t="shared" si="9"/>
        <v>203.36851044504644</v>
      </c>
    </row>
    <row r="146" spans="1:3" x14ac:dyDescent="0.2">
      <c r="A146" s="3">
        <v>142</v>
      </c>
      <c r="B146" s="2">
        <f t="shared" si="8"/>
        <v>121</v>
      </c>
      <c r="C146" s="2">
        <f t="shared" si="9"/>
        <v>205.40219554949689</v>
      </c>
    </row>
    <row r="147" spans="1:3" x14ac:dyDescent="0.2">
      <c r="A147" s="3">
        <v>143</v>
      </c>
      <c r="B147" s="2">
        <f t="shared" si="8"/>
        <v>121.49999999999999</v>
      </c>
      <c r="C147" s="2">
        <f t="shared" si="9"/>
        <v>207.45621750499183</v>
      </c>
    </row>
    <row r="148" spans="1:3" x14ac:dyDescent="0.2">
      <c r="A148" s="3">
        <v>144</v>
      </c>
      <c r="B148" s="2">
        <f t="shared" si="8"/>
        <v>122</v>
      </c>
      <c r="C148" s="2">
        <f t="shared" si="9"/>
        <v>209.5307796800418</v>
      </c>
    </row>
    <row r="149" spans="1:3" x14ac:dyDescent="0.2">
      <c r="A149" s="3">
        <v>145</v>
      </c>
      <c r="B149" s="2">
        <f t="shared" si="8"/>
        <v>122.50000000000001</v>
      </c>
      <c r="C149" s="2">
        <f t="shared" si="9"/>
        <v>211.62608747684226</v>
      </c>
    </row>
    <row r="150" spans="1:3" x14ac:dyDescent="0.2">
      <c r="A150" s="3">
        <v>146</v>
      </c>
      <c r="B150" s="2">
        <f t="shared" si="8"/>
        <v>123</v>
      </c>
      <c r="C150" s="2">
        <f t="shared" si="9"/>
        <v>213.74234835161067</v>
      </c>
    </row>
    <row r="151" spans="1:3" x14ac:dyDescent="0.2">
      <c r="A151" s="3">
        <v>147</v>
      </c>
      <c r="B151" s="2">
        <f t="shared" si="8"/>
        <v>123.49999999999999</v>
      </c>
      <c r="C151" s="2">
        <f t="shared" si="9"/>
        <v>215.87977183512672</v>
      </c>
    </row>
    <row r="152" spans="1:3" x14ac:dyDescent="0.2">
      <c r="A152" s="3">
        <v>148</v>
      </c>
      <c r="B152" s="2">
        <f t="shared" si="8"/>
        <v>124</v>
      </c>
      <c r="C152" s="2">
        <f t="shared" si="9"/>
        <v>218.03856955347803</v>
      </c>
    </row>
    <row r="153" spans="1:3" x14ac:dyDescent="0.2">
      <c r="A153" s="3">
        <v>149</v>
      </c>
      <c r="B153" s="2">
        <f t="shared" si="8"/>
        <v>124.50000000000001</v>
      </c>
      <c r="C153" s="2">
        <f t="shared" si="9"/>
        <v>220.21895524901277</v>
      </c>
    </row>
    <row r="154" spans="1:3" x14ac:dyDescent="0.2">
      <c r="A154" s="3">
        <v>150</v>
      </c>
      <c r="B154" s="2">
        <f t="shared" si="8"/>
        <v>125</v>
      </c>
      <c r="C154" s="2">
        <f t="shared" si="9"/>
        <v>222.42114480150295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 enableFormatConditionsCalculation="0"/>
  <dimension ref="A1:E15"/>
  <sheetViews>
    <sheetView zoomScale="169" workbookViewId="0">
      <selection activeCell="E6" sqref="E6"/>
    </sheetView>
  </sheetViews>
  <sheetFormatPr baseColWidth="10" defaultRowHeight="16" x14ac:dyDescent="0.2"/>
  <cols>
    <col min="1" max="1" width="34.83203125" customWidth="1"/>
    <col min="2" max="2" width="24.1640625" customWidth="1"/>
    <col min="4" max="4" width="30" customWidth="1"/>
    <col min="5" max="5" width="22.5" customWidth="1"/>
  </cols>
  <sheetData>
    <row r="1" spans="1:5" x14ac:dyDescent="0.2">
      <c r="A1" s="88" t="s">
        <v>23</v>
      </c>
      <c r="B1" s="89"/>
      <c r="D1" s="86" t="s">
        <v>29</v>
      </c>
      <c r="E1" s="87"/>
    </row>
    <row r="2" spans="1:5" x14ac:dyDescent="0.2">
      <c r="A2" s="16" t="s">
        <v>15</v>
      </c>
      <c r="B2" s="11">
        <v>500</v>
      </c>
      <c r="D2" s="17" t="s">
        <v>24</v>
      </c>
      <c r="E2" s="19">
        <v>5000</v>
      </c>
    </row>
    <row r="3" spans="1:5" x14ac:dyDescent="0.2">
      <c r="A3" s="17" t="s">
        <v>16</v>
      </c>
      <c r="B3" s="12">
        <v>43081</v>
      </c>
      <c r="D3" s="17" t="s">
        <v>25</v>
      </c>
      <c r="E3" s="20">
        <v>43073</v>
      </c>
    </row>
    <row r="4" spans="1:5" x14ac:dyDescent="0.2">
      <c r="A4" s="17" t="s">
        <v>17</v>
      </c>
      <c r="B4" s="13">
        <v>43074</v>
      </c>
      <c r="C4" s="10"/>
      <c r="D4" s="17" t="s">
        <v>26</v>
      </c>
      <c r="E4" s="20">
        <v>43074</v>
      </c>
    </row>
    <row r="5" spans="1:5" x14ac:dyDescent="0.2">
      <c r="A5" s="17" t="s">
        <v>64</v>
      </c>
      <c r="B5" s="14">
        <v>0.02</v>
      </c>
      <c r="D5" s="17" t="s">
        <v>27</v>
      </c>
      <c r="E5" s="21">
        <v>52</v>
      </c>
    </row>
    <row r="6" spans="1:5" ht="17" thickBot="1" x14ac:dyDescent="0.25">
      <c r="A6" s="18" t="s">
        <v>18</v>
      </c>
      <c r="B6" s="15">
        <f>B2*(1+$B$5)^-(B3-B4)</f>
        <v>435.28008930695694</v>
      </c>
      <c r="C6" s="9"/>
      <c r="D6" s="17" t="s">
        <v>28</v>
      </c>
      <c r="E6" s="22">
        <v>0.05</v>
      </c>
    </row>
    <row r="7" spans="1:5" ht="17" thickBot="1" x14ac:dyDescent="0.25">
      <c r="D7" s="18" t="s">
        <v>18</v>
      </c>
      <c r="E7" s="23">
        <f>E2*((1-(1+E6)^-E5)/(E6))*(1+E6)^-(E4-E3)</f>
        <v>87705.109429013668</v>
      </c>
    </row>
    <row r="9" spans="1:5" x14ac:dyDescent="0.2">
      <c r="A9" s="82" t="s">
        <v>22</v>
      </c>
      <c r="B9" s="83"/>
      <c r="D9" s="84" t="s">
        <v>63</v>
      </c>
      <c r="E9" s="85"/>
    </row>
    <row r="10" spans="1:5" x14ac:dyDescent="0.2">
      <c r="A10" s="16" t="s">
        <v>19</v>
      </c>
      <c r="B10" s="11"/>
      <c r="D10" s="17" t="s">
        <v>24</v>
      </c>
      <c r="E10" s="19">
        <v>50</v>
      </c>
    </row>
    <row r="11" spans="1:5" x14ac:dyDescent="0.2">
      <c r="A11" s="17" t="s">
        <v>20</v>
      </c>
      <c r="B11" s="12"/>
      <c r="D11" s="17" t="s">
        <v>30</v>
      </c>
      <c r="E11" s="20">
        <f ca="1">TODAY()</f>
        <v>43077</v>
      </c>
    </row>
    <row r="12" spans="1:5" x14ac:dyDescent="0.2">
      <c r="A12" s="17" t="s">
        <v>21</v>
      </c>
      <c r="B12" s="13"/>
      <c r="D12" s="17" t="s">
        <v>26</v>
      </c>
      <c r="E12" s="20">
        <v>43070</v>
      </c>
    </row>
    <row r="13" spans="1:5" x14ac:dyDescent="0.2">
      <c r="A13" s="17" t="s">
        <v>64</v>
      </c>
      <c r="B13" s="14"/>
      <c r="D13" s="17" t="s">
        <v>27</v>
      </c>
      <c r="E13" s="21">
        <v>52</v>
      </c>
    </row>
    <row r="14" spans="1:5" ht="17" thickBot="1" x14ac:dyDescent="0.25">
      <c r="A14" s="18" t="s">
        <v>18</v>
      </c>
      <c r="B14" s="15">
        <f>B10*(1+B13)^(B12-B11)</f>
        <v>0</v>
      </c>
      <c r="D14" s="17" t="s">
        <v>28</v>
      </c>
      <c r="E14" s="22">
        <v>0.05</v>
      </c>
    </row>
    <row r="15" spans="1:5" ht="17" thickBot="1" x14ac:dyDescent="0.25">
      <c r="D15" s="18" t="s">
        <v>18</v>
      </c>
      <c r="E15" s="23">
        <f ca="1">E10*((1-(1+E14)^-E13)/(E14))*(1+E14)^-(E12-E11)</f>
        <v>1295.803913740117</v>
      </c>
    </row>
  </sheetData>
  <dataValidations count="4">
    <dataValidation allowBlank="1" showInputMessage="1" showErrorMessage="1" promptTitle="ATTENTION" prompt="La fréquence du taux d'intérêt doit être la même que la fréquence de versements" sqref="A5 A13"/>
    <dataValidation allowBlank="1" showErrorMessage="1" promptTitle="ATTENTION" prompt="La fréquence du taux d'intérêt doit être la même que la fréquence de versements" sqref="A4"/>
    <dataValidation type="whole" operator="lessThan" allowBlank="1" showInputMessage="1" showErrorMessage="1" sqref="B11">
      <formula1>B12</formula1>
    </dataValidation>
    <dataValidation type="whole" operator="greaterThan" allowBlank="1" showInputMessage="1" showErrorMessage="1" sqref="E4 E12">
      <formula1>E3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 enableFormatConditionsCalculation="0"/>
  <dimension ref="A1:J1000"/>
  <sheetViews>
    <sheetView zoomScale="134" workbookViewId="0"/>
  </sheetViews>
  <sheetFormatPr baseColWidth="10" defaultRowHeight="16" x14ac:dyDescent="0.2"/>
  <cols>
    <col min="1" max="1" width="25.5" style="26" customWidth="1"/>
    <col min="2" max="2" width="18.6640625" style="51" customWidth="1"/>
    <col min="3" max="3" width="18.6640625" style="26" customWidth="1"/>
    <col min="4" max="6" width="18.6640625" style="25" customWidth="1"/>
    <col min="7" max="7" width="15.33203125" style="25" customWidth="1"/>
    <col min="8" max="16384" width="10.83203125" style="26"/>
  </cols>
  <sheetData>
    <row r="1" spans="1:10" x14ac:dyDescent="0.2">
      <c r="A1" s="49" t="s">
        <v>3</v>
      </c>
      <c r="B1" s="50">
        <f>0.0325/26</f>
        <v>1.25E-3</v>
      </c>
      <c r="C1" s="46"/>
      <c r="D1" s="47"/>
      <c r="E1" s="26"/>
      <c r="F1" s="26"/>
      <c r="G1" s="26"/>
    </row>
    <row r="2" spans="1:10" x14ac:dyDescent="0.2">
      <c r="A2" s="49" t="s">
        <v>4</v>
      </c>
      <c r="B2" s="2">
        <v>18500</v>
      </c>
      <c r="C2" s="25"/>
      <c r="D2" s="26"/>
      <c r="E2" s="26"/>
      <c r="F2" s="26"/>
      <c r="G2" s="26"/>
    </row>
    <row r="3" spans="1:10" x14ac:dyDescent="0.2">
      <c r="A3" s="49" t="s">
        <v>31</v>
      </c>
      <c r="B3" s="49">
        <f>5*26</f>
        <v>130</v>
      </c>
      <c r="D3" s="26"/>
      <c r="E3" s="26"/>
      <c r="F3" s="26"/>
      <c r="G3" s="26"/>
    </row>
    <row r="4" spans="1:10" x14ac:dyDescent="0.2">
      <c r="A4" s="49" t="s">
        <v>32</v>
      </c>
      <c r="B4" s="49">
        <v>152.99</v>
      </c>
      <c r="D4" s="26"/>
      <c r="E4" s="26"/>
      <c r="F4" s="26"/>
      <c r="G4" s="26"/>
    </row>
    <row r="5" spans="1:10" x14ac:dyDescent="0.2">
      <c r="B5" s="26"/>
      <c r="D5" s="26"/>
      <c r="E5" s="26"/>
      <c r="F5" s="26"/>
      <c r="G5" s="26"/>
    </row>
    <row r="6" spans="1:10" x14ac:dyDescent="0.2">
      <c r="B6" s="26"/>
      <c r="D6" s="26"/>
      <c r="E6" s="26"/>
      <c r="F6" s="26"/>
      <c r="G6" s="26"/>
    </row>
    <row r="7" spans="1:10" x14ac:dyDescent="0.2">
      <c r="A7" s="54" t="s">
        <v>45</v>
      </c>
      <c r="B7" s="54" t="s">
        <v>43</v>
      </c>
      <c r="C7" s="54" t="s">
        <v>44</v>
      </c>
      <c r="D7" s="54" t="s">
        <v>46</v>
      </c>
      <c r="E7" s="54" t="s">
        <v>5</v>
      </c>
      <c r="F7" s="54" t="s">
        <v>13</v>
      </c>
      <c r="G7" s="26"/>
    </row>
    <row r="8" spans="1:10" x14ac:dyDescent="0.2">
      <c r="A8" s="27"/>
      <c r="B8" s="52"/>
      <c r="C8" s="27"/>
      <c r="D8" s="53"/>
      <c r="E8" s="53"/>
      <c r="F8" s="53"/>
    </row>
    <row r="9" spans="1:10" x14ac:dyDescent="0.2">
      <c r="A9" s="27"/>
      <c r="B9" s="52"/>
      <c r="C9" s="27"/>
      <c r="D9" s="53"/>
      <c r="E9" s="53"/>
      <c r="F9" s="53"/>
    </row>
    <row r="10" spans="1:10" x14ac:dyDescent="0.2">
      <c r="A10" s="27"/>
      <c r="B10" s="52"/>
      <c r="C10" s="27"/>
      <c r="D10" s="53"/>
      <c r="E10" s="53"/>
      <c r="F10" s="53"/>
      <c r="H10" s="48"/>
    </row>
    <row r="11" spans="1:10" x14ac:dyDescent="0.2">
      <c r="A11" s="27"/>
      <c r="B11" s="52"/>
      <c r="C11" s="27"/>
      <c r="D11" s="53"/>
      <c r="E11" s="53"/>
      <c r="F11" s="53"/>
      <c r="H11" s="48"/>
      <c r="I11" s="48"/>
    </row>
    <row r="12" spans="1:10" x14ac:dyDescent="0.2">
      <c r="A12" s="27"/>
      <c r="B12" s="52"/>
      <c r="C12" s="27"/>
      <c r="D12" s="53"/>
      <c r="E12" s="53"/>
      <c r="F12" s="53"/>
      <c r="I12" s="48"/>
      <c r="J12" s="48"/>
    </row>
    <row r="13" spans="1:10" x14ac:dyDescent="0.2">
      <c r="A13" s="27"/>
      <c r="B13" s="52"/>
      <c r="C13" s="27"/>
      <c r="D13" s="53"/>
      <c r="E13" s="53"/>
      <c r="F13" s="53"/>
    </row>
    <row r="14" spans="1:10" x14ac:dyDescent="0.2">
      <c r="A14" s="27"/>
      <c r="B14" s="52"/>
      <c r="C14" s="27"/>
      <c r="D14" s="53"/>
      <c r="E14" s="53"/>
      <c r="F14" s="53"/>
    </row>
    <row r="15" spans="1:10" x14ac:dyDescent="0.2">
      <c r="A15" s="27"/>
      <c r="B15" s="52"/>
      <c r="C15" s="27"/>
      <c r="D15" s="53"/>
      <c r="E15" s="53"/>
      <c r="F15" s="53"/>
    </row>
    <row r="16" spans="1:10" x14ac:dyDescent="0.2">
      <c r="A16" s="27"/>
      <c r="B16" s="52"/>
      <c r="C16" s="27"/>
      <c r="D16" s="53"/>
      <c r="E16" s="53"/>
      <c r="F16" s="53"/>
    </row>
    <row r="17" spans="1:6" x14ac:dyDescent="0.2">
      <c r="A17" s="27"/>
      <c r="B17" s="52"/>
      <c r="C17" s="27"/>
      <c r="D17" s="53"/>
      <c r="E17" s="53"/>
      <c r="F17" s="53"/>
    </row>
    <row r="18" spans="1:6" x14ac:dyDescent="0.2">
      <c r="A18" s="27"/>
      <c r="B18" s="52"/>
      <c r="C18" s="27"/>
      <c r="D18" s="53"/>
      <c r="E18" s="53"/>
      <c r="F18" s="53"/>
    </row>
    <row r="19" spans="1:6" x14ac:dyDescent="0.2">
      <c r="A19" s="27"/>
      <c r="B19" s="52"/>
      <c r="C19" s="27"/>
      <c r="D19" s="53"/>
      <c r="E19" s="53"/>
      <c r="F19" s="53"/>
    </row>
    <row r="20" spans="1:6" x14ac:dyDescent="0.2">
      <c r="A20" s="27"/>
      <c r="B20" s="52"/>
      <c r="C20" s="27"/>
      <c r="D20" s="53"/>
      <c r="E20" s="53"/>
      <c r="F20" s="53"/>
    </row>
    <row r="21" spans="1:6" x14ac:dyDescent="0.2">
      <c r="A21" s="27"/>
      <c r="B21" s="52"/>
      <c r="C21" s="27"/>
      <c r="D21" s="53"/>
      <c r="E21" s="53"/>
      <c r="F21" s="53"/>
    </row>
    <row r="22" spans="1:6" x14ac:dyDescent="0.2">
      <c r="A22" s="27"/>
      <c r="B22" s="52"/>
      <c r="C22" s="27"/>
      <c r="D22" s="53"/>
      <c r="E22" s="53"/>
      <c r="F22" s="53"/>
    </row>
    <row r="23" spans="1:6" x14ac:dyDescent="0.2">
      <c r="A23" s="27"/>
      <c r="B23" s="52"/>
      <c r="C23" s="27"/>
      <c r="D23" s="53"/>
      <c r="E23" s="53"/>
      <c r="F23" s="53"/>
    </row>
    <row r="24" spans="1:6" x14ac:dyDescent="0.2">
      <c r="A24" s="27"/>
      <c r="B24" s="52"/>
      <c r="C24" s="27"/>
      <c r="D24" s="53"/>
      <c r="E24" s="53"/>
      <c r="F24" s="53"/>
    </row>
    <row r="25" spans="1:6" x14ac:dyDescent="0.2">
      <c r="A25" s="27"/>
      <c r="B25" s="52"/>
      <c r="C25" s="27"/>
      <c r="D25" s="53"/>
      <c r="E25" s="53"/>
      <c r="F25" s="53"/>
    </row>
    <row r="26" spans="1:6" x14ac:dyDescent="0.2">
      <c r="A26" s="27"/>
      <c r="B26" s="52"/>
      <c r="C26" s="27"/>
      <c r="D26" s="53"/>
      <c r="E26" s="53"/>
      <c r="F26" s="53"/>
    </row>
    <row r="27" spans="1:6" x14ac:dyDescent="0.2">
      <c r="A27" s="27"/>
      <c r="B27" s="52"/>
      <c r="C27" s="27"/>
      <c r="D27" s="53"/>
      <c r="E27" s="53"/>
      <c r="F27" s="53"/>
    </row>
    <row r="28" spans="1:6" x14ac:dyDescent="0.2">
      <c r="A28" s="27"/>
      <c r="B28" s="52"/>
      <c r="C28" s="27"/>
      <c r="D28" s="53"/>
      <c r="E28" s="53"/>
      <c r="F28" s="53"/>
    </row>
    <row r="29" spans="1:6" x14ac:dyDescent="0.2">
      <c r="A29" s="27"/>
      <c r="B29" s="52"/>
      <c r="C29" s="27"/>
      <c r="D29" s="53"/>
      <c r="E29" s="53"/>
      <c r="F29" s="53"/>
    </row>
    <row r="30" spans="1:6" x14ac:dyDescent="0.2">
      <c r="A30" s="27"/>
      <c r="B30" s="52"/>
      <c r="C30" s="27"/>
      <c r="D30" s="53"/>
      <c r="E30" s="53"/>
      <c r="F30" s="53"/>
    </row>
    <row r="31" spans="1:6" x14ac:dyDescent="0.2">
      <c r="A31" s="27"/>
      <c r="B31" s="52"/>
      <c r="C31" s="27"/>
      <c r="D31" s="53"/>
      <c r="E31" s="53"/>
      <c r="F31" s="53"/>
    </row>
    <row r="32" spans="1:6" x14ac:dyDescent="0.2">
      <c r="A32" s="27"/>
      <c r="B32" s="52"/>
      <c r="C32" s="27"/>
      <c r="D32" s="53"/>
      <c r="E32" s="53"/>
      <c r="F32" s="53"/>
    </row>
    <row r="33" spans="1:6" x14ac:dyDescent="0.2">
      <c r="A33" s="27"/>
      <c r="B33" s="52"/>
      <c r="C33" s="27"/>
      <c r="D33" s="53"/>
      <c r="E33" s="53"/>
      <c r="F33" s="53"/>
    </row>
    <row r="34" spans="1:6" x14ac:dyDescent="0.2">
      <c r="A34" s="27"/>
      <c r="B34" s="52"/>
      <c r="C34" s="27"/>
      <c r="D34" s="53"/>
      <c r="E34" s="53"/>
      <c r="F34" s="53"/>
    </row>
    <row r="35" spans="1:6" x14ac:dyDescent="0.2">
      <c r="A35" s="27"/>
      <c r="B35" s="52"/>
      <c r="C35" s="27"/>
      <c r="D35" s="53"/>
      <c r="E35" s="53"/>
      <c r="F35" s="53"/>
    </row>
    <row r="36" spans="1:6" x14ac:dyDescent="0.2">
      <c r="A36" s="27"/>
      <c r="B36" s="52"/>
      <c r="C36" s="27"/>
      <c r="D36" s="53"/>
      <c r="E36" s="53"/>
      <c r="F36" s="53"/>
    </row>
    <row r="37" spans="1:6" x14ac:dyDescent="0.2">
      <c r="A37" s="27"/>
      <c r="B37" s="52"/>
      <c r="C37" s="27"/>
      <c r="D37" s="53"/>
      <c r="E37" s="53"/>
      <c r="F37" s="53"/>
    </row>
    <row r="38" spans="1:6" x14ac:dyDescent="0.2">
      <c r="A38" s="27"/>
      <c r="B38" s="52"/>
      <c r="C38" s="27"/>
      <c r="D38" s="53"/>
      <c r="E38" s="53"/>
      <c r="F38" s="53"/>
    </row>
    <row r="39" spans="1:6" x14ac:dyDescent="0.2">
      <c r="A39" s="27"/>
      <c r="B39" s="52"/>
      <c r="C39" s="27"/>
      <c r="D39" s="53"/>
      <c r="E39" s="53"/>
      <c r="F39" s="53"/>
    </row>
    <row r="40" spans="1:6" x14ac:dyDescent="0.2">
      <c r="A40" s="27"/>
      <c r="B40" s="52"/>
      <c r="C40" s="27"/>
      <c r="D40" s="53"/>
      <c r="E40" s="53"/>
      <c r="F40" s="53"/>
    </row>
    <row r="41" spans="1:6" x14ac:dyDescent="0.2">
      <c r="A41" s="27"/>
      <c r="B41" s="52"/>
      <c r="C41" s="27"/>
      <c r="D41" s="53"/>
      <c r="E41" s="53"/>
      <c r="F41" s="53"/>
    </row>
    <row r="42" spans="1:6" x14ac:dyDescent="0.2">
      <c r="A42" s="27"/>
      <c r="B42" s="52"/>
      <c r="C42" s="27"/>
      <c r="D42" s="53"/>
      <c r="E42" s="53"/>
      <c r="F42" s="53"/>
    </row>
    <row r="43" spans="1:6" x14ac:dyDescent="0.2">
      <c r="A43" s="27"/>
      <c r="B43" s="52"/>
      <c r="C43" s="27"/>
      <c r="D43" s="53"/>
      <c r="E43" s="53"/>
      <c r="F43" s="53"/>
    </row>
    <row r="44" spans="1:6" x14ac:dyDescent="0.2">
      <c r="A44" s="27"/>
      <c r="B44" s="52"/>
      <c r="C44" s="27"/>
      <c r="D44" s="53"/>
      <c r="E44" s="53"/>
      <c r="F44" s="53"/>
    </row>
    <row r="45" spans="1:6" x14ac:dyDescent="0.2">
      <c r="A45" s="27"/>
      <c r="B45" s="52"/>
      <c r="C45" s="27"/>
      <c r="D45" s="53"/>
      <c r="E45" s="53"/>
      <c r="F45" s="53"/>
    </row>
    <row r="46" spans="1:6" x14ac:dyDescent="0.2">
      <c r="A46" s="27"/>
      <c r="B46" s="52"/>
      <c r="C46" s="27"/>
      <c r="D46" s="53"/>
      <c r="E46" s="53"/>
      <c r="F46" s="53"/>
    </row>
    <row r="47" spans="1:6" x14ac:dyDescent="0.2">
      <c r="A47" s="27"/>
      <c r="B47" s="52"/>
      <c r="C47" s="27"/>
      <c r="D47" s="53"/>
      <c r="E47" s="53"/>
      <c r="F47" s="53"/>
    </row>
    <row r="48" spans="1:6" x14ac:dyDescent="0.2">
      <c r="A48" s="27"/>
      <c r="B48" s="52"/>
      <c r="C48" s="27"/>
      <c r="D48" s="53"/>
      <c r="E48" s="53"/>
      <c r="F48" s="53"/>
    </row>
    <row r="49" spans="1:6" x14ac:dyDescent="0.2">
      <c r="A49" s="27"/>
      <c r="B49" s="52"/>
      <c r="C49" s="27"/>
      <c r="D49" s="53"/>
      <c r="E49" s="53"/>
      <c r="F49" s="53"/>
    </row>
    <row r="50" spans="1:6" x14ac:dyDescent="0.2">
      <c r="A50" s="27"/>
      <c r="B50" s="52"/>
      <c r="C50" s="27"/>
      <c r="D50" s="53"/>
      <c r="E50" s="53"/>
      <c r="F50" s="53"/>
    </row>
    <row r="51" spans="1:6" x14ac:dyDescent="0.2">
      <c r="A51" s="27"/>
      <c r="B51" s="52"/>
      <c r="C51" s="27"/>
      <c r="D51" s="53"/>
      <c r="E51" s="53"/>
      <c r="F51" s="53"/>
    </row>
    <row r="52" spans="1:6" x14ac:dyDescent="0.2">
      <c r="A52" s="27"/>
      <c r="B52" s="52"/>
      <c r="C52" s="27"/>
      <c r="D52" s="53"/>
      <c r="E52" s="53"/>
      <c r="F52" s="53"/>
    </row>
    <row r="53" spans="1:6" x14ac:dyDescent="0.2">
      <c r="A53" s="27"/>
      <c r="B53" s="52"/>
      <c r="C53" s="27"/>
      <c r="D53" s="53"/>
      <c r="E53" s="53"/>
      <c r="F53" s="53"/>
    </row>
    <row r="54" spans="1:6" x14ac:dyDescent="0.2">
      <c r="A54" s="27"/>
      <c r="B54" s="52"/>
      <c r="C54" s="27"/>
      <c r="D54" s="53"/>
      <c r="E54" s="53"/>
      <c r="F54" s="53"/>
    </row>
    <row r="55" spans="1:6" x14ac:dyDescent="0.2">
      <c r="A55" s="27"/>
      <c r="B55" s="52"/>
      <c r="C55" s="27"/>
      <c r="D55" s="53"/>
      <c r="E55" s="53"/>
      <c r="F55" s="53"/>
    </row>
    <row r="56" spans="1:6" x14ac:dyDescent="0.2">
      <c r="A56" s="27"/>
      <c r="B56" s="52"/>
      <c r="C56" s="27"/>
      <c r="D56" s="53"/>
      <c r="E56" s="53"/>
      <c r="F56" s="53"/>
    </row>
    <row r="57" spans="1:6" x14ac:dyDescent="0.2">
      <c r="A57" s="27"/>
      <c r="B57" s="52"/>
      <c r="C57" s="27"/>
      <c r="D57" s="53"/>
      <c r="E57" s="53"/>
      <c r="F57" s="53"/>
    </row>
    <row r="58" spans="1:6" x14ac:dyDescent="0.2">
      <c r="A58" s="27"/>
      <c r="B58" s="52"/>
      <c r="C58" s="27"/>
      <c r="D58" s="53"/>
      <c r="E58" s="53"/>
      <c r="F58" s="53"/>
    </row>
    <row r="59" spans="1:6" x14ac:dyDescent="0.2">
      <c r="A59" s="27"/>
      <c r="B59" s="52"/>
      <c r="C59" s="27"/>
      <c r="D59" s="53"/>
      <c r="E59" s="53"/>
      <c r="F59" s="53"/>
    </row>
    <row r="60" spans="1:6" x14ac:dyDescent="0.2">
      <c r="A60" s="27"/>
      <c r="B60" s="52"/>
      <c r="C60" s="27"/>
      <c r="D60" s="53"/>
      <c r="E60" s="53"/>
      <c r="F60" s="53"/>
    </row>
    <row r="61" spans="1:6" x14ac:dyDescent="0.2">
      <c r="A61" s="27"/>
      <c r="B61" s="52"/>
      <c r="C61" s="27"/>
      <c r="D61" s="53"/>
      <c r="E61" s="53"/>
      <c r="F61" s="53"/>
    </row>
    <row r="62" spans="1:6" x14ac:dyDescent="0.2">
      <c r="A62" s="27"/>
      <c r="B62" s="52"/>
      <c r="C62" s="27"/>
      <c r="D62" s="53"/>
      <c r="E62" s="53"/>
      <c r="F62" s="53"/>
    </row>
    <row r="63" spans="1:6" x14ac:dyDescent="0.2">
      <c r="A63" s="27"/>
      <c r="B63" s="52"/>
      <c r="C63" s="27"/>
      <c r="D63" s="53"/>
      <c r="E63" s="53"/>
      <c r="F63" s="53"/>
    </row>
    <row r="64" spans="1:6" x14ac:dyDescent="0.2">
      <c r="A64" s="27"/>
      <c r="B64" s="52"/>
      <c r="C64" s="27"/>
      <c r="D64" s="53"/>
      <c r="E64" s="53"/>
      <c r="F64" s="53"/>
    </row>
    <row r="65" spans="1:6" x14ac:dyDescent="0.2">
      <c r="A65" s="27"/>
      <c r="B65" s="52"/>
      <c r="C65" s="27"/>
      <c r="D65" s="53"/>
      <c r="E65" s="53"/>
      <c r="F65" s="53"/>
    </row>
    <row r="66" spans="1:6" x14ac:dyDescent="0.2">
      <c r="A66" s="27"/>
      <c r="B66" s="52"/>
      <c r="C66" s="27"/>
      <c r="D66" s="53"/>
      <c r="E66" s="53"/>
      <c r="F66" s="53"/>
    </row>
    <row r="67" spans="1:6" x14ac:dyDescent="0.2">
      <c r="A67" s="27"/>
      <c r="B67" s="52"/>
      <c r="C67" s="27"/>
      <c r="D67" s="53"/>
      <c r="E67" s="53"/>
      <c r="F67" s="53"/>
    </row>
    <row r="68" spans="1:6" x14ac:dyDescent="0.2">
      <c r="A68" s="27"/>
      <c r="B68" s="52"/>
      <c r="C68" s="27"/>
      <c r="D68" s="53"/>
      <c r="E68" s="53"/>
      <c r="F68" s="53"/>
    </row>
    <row r="69" spans="1:6" x14ac:dyDescent="0.2">
      <c r="A69" s="27"/>
      <c r="B69" s="52"/>
      <c r="C69" s="27"/>
      <c r="D69" s="53"/>
      <c r="E69" s="53"/>
      <c r="F69" s="53"/>
    </row>
    <row r="70" spans="1:6" x14ac:dyDescent="0.2">
      <c r="A70" s="27"/>
      <c r="B70" s="52"/>
      <c r="C70" s="27"/>
      <c r="D70" s="53"/>
      <c r="E70" s="53"/>
      <c r="F70" s="53"/>
    </row>
    <row r="71" spans="1:6" x14ac:dyDescent="0.2">
      <c r="A71" s="27"/>
      <c r="B71" s="52"/>
      <c r="C71" s="27"/>
      <c r="D71" s="53"/>
      <c r="E71" s="53"/>
      <c r="F71" s="53"/>
    </row>
    <row r="72" spans="1:6" x14ac:dyDescent="0.2">
      <c r="A72" s="27"/>
      <c r="B72" s="52"/>
      <c r="C72" s="27"/>
      <c r="D72" s="53"/>
      <c r="E72" s="53"/>
      <c r="F72" s="53"/>
    </row>
    <row r="73" spans="1:6" x14ac:dyDescent="0.2">
      <c r="A73" s="27"/>
      <c r="B73" s="52"/>
      <c r="C73" s="27"/>
      <c r="D73" s="53"/>
      <c r="E73" s="53"/>
      <c r="F73" s="53"/>
    </row>
    <row r="74" spans="1:6" x14ac:dyDescent="0.2">
      <c r="A74" s="27"/>
      <c r="B74" s="52"/>
      <c r="C74" s="27"/>
      <c r="D74" s="53"/>
      <c r="E74" s="53"/>
      <c r="F74" s="53"/>
    </row>
    <row r="75" spans="1:6" x14ac:dyDescent="0.2">
      <c r="A75" s="27"/>
      <c r="B75" s="52"/>
      <c r="C75" s="27"/>
      <c r="D75" s="53"/>
      <c r="E75" s="53"/>
      <c r="F75" s="53"/>
    </row>
    <row r="76" spans="1:6" x14ac:dyDescent="0.2">
      <c r="A76" s="27"/>
      <c r="B76" s="52"/>
      <c r="C76" s="27"/>
      <c r="D76" s="53"/>
      <c r="E76" s="53"/>
      <c r="F76" s="53"/>
    </row>
    <row r="77" spans="1:6" x14ac:dyDescent="0.2">
      <c r="A77" s="27"/>
      <c r="B77" s="52"/>
      <c r="C77" s="27"/>
      <c r="D77" s="53"/>
      <c r="E77" s="53"/>
      <c r="F77" s="53"/>
    </row>
    <row r="78" spans="1:6" x14ac:dyDescent="0.2">
      <c r="A78" s="27"/>
      <c r="B78" s="52"/>
      <c r="C78" s="27"/>
      <c r="D78" s="53"/>
      <c r="E78" s="53"/>
      <c r="F78" s="53"/>
    </row>
    <row r="79" spans="1:6" x14ac:dyDescent="0.2">
      <c r="A79" s="27"/>
      <c r="B79" s="52"/>
      <c r="C79" s="27"/>
      <c r="D79" s="53"/>
      <c r="E79" s="53"/>
      <c r="F79" s="53"/>
    </row>
    <row r="80" spans="1:6" x14ac:dyDescent="0.2">
      <c r="A80" s="27"/>
      <c r="B80" s="52"/>
      <c r="C80" s="27"/>
      <c r="D80" s="53"/>
      <c r="E80" s="53"/>
      <c r="F80" s="53"/>
    </row>
    <row r="81" spans="1:6" x14ac:dyDescent="0.2">
      <c r="A81" s="27"/>
      <c r="B81" s="52"/>
      <c r="C81" s="27"/>
      <c r="D81" s="53"/>
      <c r="E81" s="53"/>
      <c r="F81" s="53"/>
    </row>
    <row r="82" spans="1:6" x14ac:dyDescent="0.2">
      <c r="A82" s="27"/>
      <c r="B82" s="52"/>
      <c r="C82" s="27"/>
      <c r="D82" s="53"/>
      <c r="E82" s="53"/>
      <c r="F82" s="53"/>
    </row>
    <row r="83" spans="1:6" x14ac:dyDescent="0.2">
      <c r="A83" s="27"/>
      <c r="B83" s="52"/>
      <c r="C83" s="27"/>
      <c r="D83" s="53"/>
      <c r="E83" s="53"/>
      <c r="F83" s="53"/>
    </row>
    <row r="84" spans="1:6" x14ac:dyDescent="0.2">
      <c r="A84" s="27"/>
      <c r="B84" s="52"/>
      <c r="C84" s="27"/>
      <c r="D84" s="53"/>
      <c r="E84" s="53"/>
      <c r="F84" s="53"/>
    </row>
    <row r="85" spans="1:6" x14ac:dyDescent="0.2">
      <c r="A85" s="27"/>
      <c r="B85" s="52"/>
      <c r="C85" s="27"/>
      <c r="D85" s="53"/>
      <c r="E85" s="53"/>
      <c r="F85" s="53"/>
    </row>
    <row r="86" spans="1:6" x14ac:dyDescent="0.2">
      <c r="A86" s="27"/>
      <c r="B86" s="52"/>
      <c r="C86" s="27"/>
      <c r="D86" s="53"/>
      <c r="E86" s="53"/>
      <c r="F86" s="53"/>
    </row>
    <row r="87" spans="1:6" x14ac:dyDescent="0.2">
      <c r="A87" s="27"/>
      <c r="B87" s="52"/>
      <c r="C87" s="27"/>
      <c r="D87" s="53"/>
      <c r="E87" s="53"/>
      <c r="F87" s="53"/>
    </row>
    <row r="88" spans="1:6" x14ac:dyDescent="0.2">
      <c r="A88" s="27"/>
      <c r="B88" s="52"/>
      <c r="C88" s="27"/>
      <c r="D88" s="53"/>
      <c r="E88" s="53"/>
      <c r="F88" s="53"/>
    </row>
    <row r="89" spans="1:6" x14ac:dyDescent="0.2">
      <c r="A89" s="27"/>
      <c r="B89" s="52"/>
      <c r="C89" s="27"/>
      <c r="D89" s="53"/>
      <c r="E89" s="53"/>
      <c r="F89" s="53"/>
    </row>
    <row r="90" spans="1:6" x14ac:dyDescent="0.2">
      <c r="A90" s="27"/>
      <c r="B90" s="52"/>
      <c r="C90" s="27"/>
      <c r="D90" s="53"/>
      <c r="E90" s="53"/>
      <c r="F90" s="53"/>
    </row>
    <row r="91" spans="1:6" x14ac:dyDescent="0.2">
      <c r="A91" s="27"/>
      <c r="B91" s="52"/>
      <c r="C91" s="27"/>
      <c r="D91" s="53"/>
      <c r="E91" s="53"/>
      <c r="F91" s="53"/>
    </row>
    <row r="92" spans="1:6" x14ac:dyDescent="0.2">
      <c r="A92" s="27"/>
      <c r="B92" s="52"/>
      <c r="C92" s="27"/>
      <c r="D92" s="53"/>
      <c r="E92" s="53"/>
      <c r="F92" s="53"/>
    </row>
    <row r="93" spans="1:6" x14ac:dyDescent="0.2">
      <c r="A93" s="27"/>
      <c r="B93" s="52"/>
      <c r="C93" s="27"/>
      <c r="D93" s="53"/>
      <c r="E93" s="53"/>
      <c r="F93" s="53"/>
    </row>
    <row r="94" spans="1:6" x14ac:dyDescent="0.2">
      <c r="A94" s="27"/>
      <c r="B94" s="52"/>
      <c r="C94" s="27"/>
      <c r="D94" s="53"/>
      <c r="E94" s="53"/>
      <c r="F94" s="53"/>
    </row>
    <row r="95" spans="1:6" x14ac:dyDescent="0.2">
      <c r="A95" s="27"/>
      <c r="B95" s="52"/>
      <c r="C95" s="27"/>
      <c r="D95" s="53"/>
      <c r="E95" s="53"/>
      <c r="F95" s="53"/>
    </row>
    <row r="96" spans="1:6" x14ac:dyDescent="0.2">
      <c r="A96" s="27"/>
      <c r="B96" s="52"/>
      <c r="C96" s="27"/>
      <c r="D96" s="53"/>
      <c r="E96" s="53"/>
      <c r="F96" s="53"/>
    </row>
    <row r="97" spans="1:6" x14ac:dyDescent="0.2">
      <c r="A97" s="27"/>
      <c r="B97" s="52"/>
      <c r="C97" s="27"/>
      <c r="D97" s="53"/>
      <c r="E97" s="53"/>
      <c r="F97" s="53"/>
    </row>
    <row r="98" spans="1:6" x14ac:dyDescent="0.2">
      <c r="A98" s="27"/>
      <c r="B98" s="52"/>
      <c r="C98" s="27"/>
      <c r="D98" s="53"/>
      <c r="E98" s="53"/>
      <c r="F98" s="53"/>
    </row>
    <row r="99" spans="1:6" x14ac:dyDescent="0.2">
      <c r="A99" s="27"/>
      <c r="B99" s="52"/>
      <c r="C99" s="27"/>
      <c r="D99" s="53"/>
      <c r="E99" s="53"/>
      <c r="F99" s="53"/>
    </row>
    <row r="100" spans="1:6" x14ac:dyDescent="0.2">
      <c r="A100" s="27"/>
      <c r="B100" s="52"/>
      <c r="C100" s="27"/>
      <c r="D100" s="53"/>
      <c r="E100" s="53"/>
      <c r="F100" s="53"/>
    </row>
    <row r="101" spans="1:6" x14ac:dyDescent="0.2">
      <c r="A101" s="27"/>
      <c r="B101" s="52"/>
      <c r="C101" s="27"/>
      <c r="D101" s="53"/>
      <c r="E101" s="53"/>
      <c r="F101" s="53"/>
    </row>
    <row r="102" spans="1:6" x14ac:dyDescent="0.2">
      <c r="A102" s="27"/>
      <c r="B102" s="52"/>
      <c r="C102" s="27"/>
      <c r="D102" s="53"/>
      <c r="E102" s="53"/>
      <c r="F102" s="53"/>
    </row>
    <row r="103" spans="1:6" x14ac:dyDescent="0.2">
      <c r="A103" s="27"/>
      <c r="B103" s="52"/>
      <c r="C103" s="27"/>
      <c r="D103" s="53"/>
      <c r="E103" s="53"/>
      <c r="F103" s="53"/>
    </row>
    <row r="104" spans="1:6" x14ac:dyDescent="0.2">
      <c r="A104" s="27"/>
      <c r="B104" s="52"/>
      <c r="C104" s="27"/>
      <c r="D104" s="53"/>
      <c r="E104" s="53"/>
      <c r="F104" s="53"/>
    </row>
    <row r="105" spans="1:6" x14ac:dyDescent="0.2">
      <c r="A105" s="27"/>
      <c r="B105" s="52"/>
      <c r="C105" s="27"/>
      <c r="D105" s="53"/>
      <c r="E105" s="53"/>
      <c r="F105" s="53"/>
    </row>
    <row r="106" spans="1:6" x14ac:dyDescent="0.2">
      <c r="A106" s="27"/>
      <c r="B106" s="52"/>
      <c r="C106" s="27"/>
      <c r="D106" s="53"/>
      <c r="E106" s="53"/>
      <c r="F106" s="53"/>
    </row>
    <row r="107" spans="1:6" x14ac:dyDescent="0.2">
      <c r="A107" s="27"/>
      <c r="B107" s="52"/>
      <c r="C107" s="27"/>
      <c r="D107" s="53"/>
      <c r="E107" s="53"/>
      <c r="F107" s="53"/>
    </row>
    <row r="108" spans="1:6" x14ac:dyDescent="0.2">
      <c r="A108" s="27"/>
      <c r="B108" s="52"/>
      <c r="C108" s="27"/>
      <c r="D108" s="53"/>
      <c r="E108" s="53"/>
      <c r="F108" s="53"/>
    </row>
    <row r="109" spans="1:6" x14ac:dyDescent="0.2">
      <c r="A109" s="27"/>
      <c r="B109" s="52"/>
      <c r="C109" s="27"/>
      <c r="D109" s="53"/>
      <c r="E109" s="53"/>
      <c r="F109" s="53"/>
    </row>
    <row r="110" spans="1:6" x14ac:dyDescent="0.2">
      <c r="A110" s="27"/>
      <c r="B110" s="52"/>
      <c r="C110" s="27"/>
      <c r="D110" s="53"/>
      <c r="E110" s="53"/>
      <c r="F110" s="53"/>
    </row>
    <row r="111" spans="1:6" x14ac:dyDescent="0.2">
      <c r="A111" s="27"/>
      <c r="B111" s="52"/>
      <c r="C111" s="27"/>
      <c r="D111" s="53"/>
      <c r="E111" s="53"/>
      <c r="F111" s="53"/>
    </row>
    <row r="112" spans="1:6" x14ac:dyDescent="0.2">
      <c r="A112" s="27"/>
      <c r="B112" s="52"/>
      <c r="C112" s="27"/>
      <c r="D112" s="53"/>
      <c r="E112" s="53"/>
      <c r="F112" s="53"/>
    </row>
    <row r="113" spans="1:6" x14ac:dyDescent="0.2">
      <c r="A113" s="27"/>
      <c r="B113" s="52"/>
      <c r="C113" s="27"/>
      <c r="D113" s="53"/>
      <c r="E113" s="53"/>
      <c r="F113" s="53"/>
    </row>
    <row r="114" spans="1:6" x14ac:dyDescent="0.2">
      <c r="A114" s="27"/>
      <c r="B114" s="52"/>
      <c r="C114" s="27"/>
      <c r="D114" s="53"/>
      <c r="E114" s="53"/>
      <c r="F114" s="53"/>
    </row>
    <row r="115" spans="1:6" x14ac:dyDescent="0.2">
      <c r="A115" s="27"/>
      <c r="B115" s="52"/>
      <c r="C115" s="27"/>
      <c r="D115" s="53"/>
      <c r="E115" s="53"/>
      <c r="F115" s="53"/>
    </row>
    <row r="116" spans="1:6" x14ac:dyDescent="0.2">
      <c r="A116" s="27"/>
      <c r="B116" s="52"/>
      <c r="C116" s="27"/>
      <c r="D116" s="53"/>
      <c r="E116" s="53"/>
      <c r="F116" s="53"/>
    </row>
    <row r="117" spans="1:6" x14ac:dyDescent="0.2">
      <c r="A117" s="27"/>
      <c r="B117" s="52"/>
      <c r="C117" s="27"/>
      <c r="D117" s="53"/>
      <c r="E117" s="53"/>
      <c r="F117" s="53"/>
    </row>
    <row r="118" spans="1:6" x14ac:dyDescent="0.2">
      <c r="A118" s="27"/>
      <c r="B118" s="52"/>
      <c r="C118" s="27"/>
      <c r="D118" s="53"/>
      <c r="E118" s="53"/>
      <c r="F118" s="53"/>
    </row>
    <row r="119" spans="1:6" x14ac:dyDescent="0.2">
      <c r="A119" s="27"/>
      <c r="B119" s="52"/>
      <c r="C119" s="27"/>
      <c r="D119" s="53"/>
      <c r="E119" s="53"/>
      <c r="F119" s="53"/>
    </row>
    <row r="120" spans="1:6" x14ac:dyDescent="0.2">
      <c r="A120" s="27"/>
      <c r="B120" s="52"/>
      <c r="C120" s="27"/>
      <c r="D120" s="53"/>
      <c r="E120" s="53"/>
      <c r="F120" s="53"/>
    </row>
    <row r="121" spans="1:6" x14ac:dyDescent="0.2">
      <c r="A121" s="27"/>
      <c r="B121" s="52"/>
      <c r="C121" s="27"/>
      <c r="D121" s="53"/>
      <c r="E121" s="53"/>
      <c r="F121" s="53"/>
    </row>
    <row r="122" spans="1:6" x14ac:dyDescent="0.2">
      <c r="A122" s="27"/>
      <c r="B122" s="52"/>
      <c r="C122" s="27"/>
      <c r="D122" s="53"/>
      <c r="E122" s="53"/>
      <c r="F122" s="53"/>
    </row>
    <row r="123" spans="1:6" x14ac:dyDescent="0.2">
      <c r="A123" s="27"/>
      <c r="B123" s="52"/>
      <c r="C123" s="27"/>
      <c r="D123" s="53"/>
      <c r="E123" s="53"/>
      <c r="F123" s="53"/>
    </row>
    <row r="124" spans="1:6" x14ac:dyDescent="0.2">
      <c r="A124" s="27"/>
      <c r="B124" s="52"/>
      <c r="C124" s="27"/>
      <c r="D124" s="53"/>
      <c r="E124" s="53"/>
      <c r="F124" s="53"/>
    </row>
    <row r="125" spans="1:6" x14ac:dyDescent="0.2">
      <c r="A125" s="27"/>
      <c r="B125" s="52"/>
      <c r="C125" s="27"/>
      <c r="D125" s="53"/>
      <c r="E125" s="53"/>
      <c r="F125" s="53"/>
    </row>
    <row r="126" spans="1:6" x14ac:dyDescent="0.2">
      <c r="A126" s="27"/>
      <c r="B126" s="52"/>
      <c r="C126" s="27"/>
      <c r="D126" s="53"/>
      <c r="E126" s="53"/>
      <c r="F126" s="53"/>
    </row>
    <row r="127" spans="1:6" x14ac:dyDescent="0.2">
      <c r="A127" s="27"/>
      <c r="B127" s="52"/>
      <c r="C127" s="27"/>
      <c r="D127" s="53"/>
      <c r="E127" s="53"/>
      <c r="F127" s="53"/>
    </row>
    <row r="128" spans="1:6" x14ac:dyDescent="0.2">
      <c r="A128" s="27"/>
      <c r="B128" s="52"/>
      <c r="C128" s="27"/>
      <c r="D128" s="53"/>
      <c r="E128" s="53"/>
      <c r="F128" s="53"/>
    </row>
    <row r="129" spans="1:6" x14ac:dyDescent="0.2">
      <c r="A129" s="27"/>
      <c r="B129" s="52"/>
      <c r="C129" s="27"/>
      <c r="D129" s="53"/>
      <c r="E129" s="53"/>
      <c r="F129" s="53"/>
    </row>
    <row r="130" spans="1:6" x14ac:dyDescent="0.2">
      <c r="A130" s="27"/>
      <c r="B130" s="52"/>
      <c r="C130" s="27"/>
      <c r="D130" s="53"/>
      <c r="E130" s="53"/>
      <c r="F130" s="53"/>
    </row>
    <row r="131" spans="1:6" x14ac:dyDescent="0.2">
      <c r="A131" s="27"/>
      <c r="B131" s="52"/>
      <c r="C131" s="27"/>
      <c r="D131" s="53"/>
      <c r="E131" s="53"/>
      <c r="F131" s="53"/>
    </row>
    <row r="132" spans="1:6" x14ac:dyDescent="0.2">
      <c r="A132" s="27"/>
      <c r="B132" s="52"/>
      <c r="C132" s="27"/>
      <c r="D132" s="53"/>
      <c r="E132" s="53"/>
      <c r="F132" s="53"/>
    </row>
    <row r="133" spans="1:6" x14ac:dyDescent="0.2">
      <c r="A133" s="27"/>
      <c r="B133" s="52"/>
      <c r="C133" s="27"/>
      <c r="D133" s="53"/>
      <c r="E133" s="53"/>
      <c r="F133" s="53"/>
    </row>
    <row r="134" spans="1:6" x14ac:dyDescent="0.2">
      <c r="A134" s="27"/>
      <c r="B134" s="52"/>
      <c r="C134" s="27"/>
      <c r="D134" s="53"/>
      <c r="E134" s="53"/>
      <c r="F134" s="53"/>
    </row>
    <row r="135" spans="1:6" x14ac:dyDescent="0.2">
      <c r="A135" s="27"/>
      <c r="B135" s="52"/>
      <c r="C135" s="27"/>
      <c r="D135" s="53"/>
      <c r="E135" s="53"/>
      <c r="F135" s="53"/>
    </row>
    <row r="136" spans="1:6" x14ac:dyDescent="0.2">
      <c r="A136" s="27"/>
      <c r="B136" s="52"/>
      <c r="C136" s="27"/>
      <c r="D136" s="53"/>
      <c r="E136" s="53"/>
      <c r="F136" s="53"/>
    </row>
    <row r="137" spans="1:6" x14ac:dyDescent="0.2">
      <c r="A137" s="27"/>
      <c r="B137" s="52"/>
      <c r="C137" s="27"/>
      <c r="D137" s="53"/>
      <c r="E137" s="53"/>
      <c r="F137" s="53"/>
    </row>
    <row r="138" spans="1:6" x14ac:dyDescent="0.2">
      <c r="A138" s="27"/>
      <c r="B138" s="52"/>
      <c r="C138" s="27"/>
      <c r="D138" s="53"/>
      <c r="E138" s="53"/>
      <c r="F138" s="53"/>
    </row>
    <row r="139" spans="1:6" x14ac:dyDescent="0.2">
      <c r="A139" s="27"/>
      <c r="B139" s="52"/>
      <c r="C139" s="27"/>
      <c r="D139" s="53"/>
      <c r="E139" s="53"/>
      <c r="F139" s="53"/>
    </row>
    <row r="140" spans="1:6" x14ac:dyDescent="0.2">
      <c r="A140" s="27"/>
      <c r="B140" s="52"/>
      <c r="C140" s="27"/>
      <c r="D140" s="53"/>
      <c r="E140" s="53"/>
      <c r="F140" s="53"/>
    </row>
    <row r="141" spans="1:6" x14ac:dyDescent="0.2">
      <c r="A141" s="27"/>
      <c r="B141" s="52"/>
      <c r="C141" s="27"/>
      <c r="D141" s="53"/>
      <c r="E141" s="53"/>
      <c r="F141" s="53"/>
    </row>
    <row r="142" spans="1:6" x14ac:dyDescent="0.2">
      <c r="A142" s="27"/>
      <c r="B142" s="52"/>
      <c r="C142" s="27"/>
      <c r="D142" s="53"/>
      <c r="E142" s="53"/>
      <c r="F142" s="53"/>
    </row>
    <row r="143" spans="1:6" x14ac:dyDescent="0.2">
      <c r="A143" s="27"/>
      <c r="B143" s="52"/>
      <c r="C143" s="27"/>
      <c r="D143" s="53"/>
      <c r="E143" s="53"/>
      <c r="F143" s="53"/>
    </row>
    <row r="144" spans="1:6" x14ac:dyDescent="0.2">
      <c r="A144" s="27"/>
      <c r="B144" s="52"/>
      <c r="C144" s="27"/>
      <c r="D144" s="53"/>
      <c r="E144" s="53"/>
      <c r="F144" s="53"/>
    </row>
    <row r="145" spans="1:6" x14ac:dyDescent="0.2">
      <c r="A145" s="27"/>
      <c r="B145" s="52"/>
      <c r="C145" s="27"/>
      <c r="D145" s="53"/>
      <c r="E145" s="53"/>
      <c r="F145" s="53"/>
    </row>
    <row r="146" spans="1:6" x14ac:dyDescent="0.2">
      <c r="A146" s="27"/>
      <c r="B146" s="52"/>
      <c r="C146" s="27"/>
      <c r="D146" s="53"/>
      <c r="E146" s="53"/>
      <c r="F146" s="53"/>
    </row>
    <row r="147" spans="1:6" x14ac:dyDescent="0.2">
      <c r="A147" s="27"/>
      <c r="B147" s="52"/>
      <c r="C147" s="27"/>
      <c r="D147" s="53"/>
      <c r="E147" s="53"/>
      <c r="F147" s="53"/>
    </row>
    <row r="148" spans="1:6" x14ac:dyDescent="0.2">
      <c r="A148" s="27"/>
      <c r="B148" s="52"/>
      <c r="C148" s="27"/>
      <c r="D148" s="53"/>
      <c r="E148" s="53"/>
      <c r="F148" s="53"/>
    </row>
    <row r="149" spans="1:6" x14ac:dyDescent="0.2">
      <c r="A149" s="27"/>
      <c r="B149" s="52"/>
      <c r="C149" s="27"/>
      <c r="D149" s="53"/>
      <c r="E149" s="53"/>
      <c r="F149" s="53"/>
    </row>
    <row r="150" spans="1:6" x14ac:dyDescent="0.2">
      <c r="A150" s="27"/>
      <c r="B150" s="52"/>
      <c r="C150" s="27"/>
      <c r="D150" s="53"/>
      <c r="E150" s="53"/>
      <c r="F150" s="53"/>
    </row>
    <row r="151" spans="1:6" x14ac:dyDescent="0.2">
      <c r="A151" s="27"/>
      <c r="B151" s="52"/>
      <c r="C151" s="27"/>
      <c r="D151" s="53"/>
      <c r="E151" s="53"/>
      <c r="F151" s="53"/>
    </row>
    <row r="152" spans="1:6" x14ac:dyDescent="0.2">
      <c r="A152" s="27"/>
      <c r="B152" s="52"/>
      <c r="C152" s="27"/>
      <c r="D152" s="53"/>
      <c r="E152" s="53"/>
      <c r="F152" s="53"/>
    </row>
    <row r="153" spans="1:6" x14ac:dyDescent="0.2">
      <c r="A153" s="27"/>
      <c r="B153" s="52"/>
      <c r="C153" s="27"/>
      <c r="D153" s="53"/>
      <c r="E153" s="53"/>
      <c r="F153" s="53"/>
    </row>
    <row r="154" spans="1:6" x14ac:dyDescent="0.2">
      <c r="A154" s="27"/>
      <c r="B154" s="52"/>
      <c r="C154" s="27"/>
      <c r="D154" s="53"/>
      <c r="E154" s="53"/>
      <c r="F154" s="53"/>
    </row>
    <row r="155" spans="1:6" x14ac:dyDescent="0.2">
      <c r="A155" s="27"/>
      <c r="B155" s="52"/>
      <c r="C155" s="27"/>
      <c r="D155" s="53"/>
      <c r="E155" s="53"/>
      <c r="F155" s="53"/>
    </row>
    <row r="156" spans="1:6" x14ac:dyDescent="0.2">
      <c r="A156" s="27"/>
      <c r="B156" s="52"/>
      <c r="C156" s="27"/>
      <c r="D156" s="53"/>
      <c r="E156" s="53"/>
      <c r="F156" s="53"/>
    </row>
    <row r="157" spans="1:6" x14ac:dyDescent="0.2">
      <c r="A157" s="27"/>
      <c r="B157" s="52"/>
      <c r="C157" s="27"/>
      <c r="D157" s="53"/>
      <c r="E157" s="53"/>
      <c r="F157" s="53"/>
    </row>
    <row r="158" spans="1:6" x14ac:dyDescent="0.2">
      <c r="A158" s="27"/>
      <c r="B158" s="52"/>
      <c r="C158" s="27"/>
      <c r="D158" s="53"/>
      <c r="E158" s="53"/>
      <c r="F158" s="53"/>
    </row>
    <row r="159" spans="1:6" x14ac:dyDescent="0.2">
      <c r="A159" s="27"/>
      <c r="B159" s="52"/>
      <c r="C159" s="27"/>
      <c r="D159" s="53"/>
      <c r="E159" s="53"/>
      <c r="F159" s="53"/>
    </row>
    <row r="160" spans="1:6" x14ac:dyDescent="0.2">
      <c r="A160" s="27"/>
      <c r="B160" s="52"/>
      <c r="C160" s="27"/>
      <c r="D160" s="53"/>
      <c r="E160" s="53"/>
      <c r="F160" s="53"/>
    </row>
    <row r="161" spans="1:6" x14ac:dyDescent="0.2">
      <c r="A161" s="27"/>
      <c r="B161" s="52"/>
      <c r="C161" s="27"/>
      <c r="D161" s="53"/>
      <c r="E161" s="53"/>
      <c r="F161" s="53"/>
    </row>
    <row r="162" spans="1:6" x14ac:dyDescent="0.2">
      <c r="A162" s="27"/>
      <c r="B162" s="52"/>
      <c r="C162" s="27"/>
      <c r="D162" s="53"/>
      <c r="E162" s="53"/>
      <c r="F162" s="53"/>
    </row>
    <row r="163" spans="1:6" x14ac:dyDescent="0.2">
      <c r="A163" s="27"/>
      <c r="B163" s="52"/>
      <c r="C163" s="27"/>
      <c r="D163" s="53"/>
      <c r="E163" s="53"/>
      <c r="F163" s="53"/>
    </row>
    <row r="164" spans="1:6" x14ac:dyDescent="0.2">
      <c r="A164" s="27"/>
      <c r="B164" s="52"/>
      <c r="C164" s="27"/>
      <c r="D164" s="53"/>
      <c r="E164" s="53"/>
      <c r="F164" s="53"/>
    </row>
    <row r="165" spans="1:6" x14ac:dyDescent="0.2">
      <c r="A165" s="27"/>
      <c r="B165" s="52"/>
      <c r="C165" s="27"/>
      <c r="D165" s="53"/>
      <c r="E165" s="53"/>
      <c r="F165" s="53"/>
    </row>
    <row r="166" spans="1:6" x14ac:dyDescent="0.2">
      <c r="A166" s="27"/>
      <c r="B166" s="52"/>
      <c r="C166" s="27"/>
      <c r="D166" s="53"/>
      <c r="E166" s="53"/>
      <c r="F166" s="53"/>
    </row>
    <row r="167" spans="1:6" x14ac:dyDescent="0.2">
      <c r="A167" s="27"/>
      <c r="B167" s="52"/>
      <c r="C167" s="27"/>
      <c r="D167" s="53"/>
      <c r="E167" s="53"/>
      <c r="F167" s="53"/>
    </row>
    <row r="168" spans="1:6" x14ac:dyDescent="0.2">
      <c r="A168" s="27"/>
      <c r="B168" s="52"/>
      <c r="C168" s="27"/>
      <c r="D168" s="53"/>
      <c r="E168" s="53"/>
      <c r="F168" s="53"/>
    </row>
    <row r="169" spans="1:6" x14ac:dyDescent="0.2">
      <c r="A169" s="27"/>
      <c r="B169" s="52"/>
      <c r="C169" s="27"/>
      <c r="D169" s="53"/>
      <c r="E169" s="53"/>
      <c r="F169" s="53"/>
    </row>
    <row r="170" spans="1:6" x14ac:dyDescent="0.2">
      <c r="A170" s="27"/>
      <c r="B170" s="52"/>
      <c r="C170" s="27"/>
      <c r="D170" s="53"/>
      <c r="E170" s="53"/>
      <c r="F170" s="53"/>
    </row>
    <row r="171" spans="1:6" x14ac:dyDescent="0.2">
      <c r="A171" s="27"/>
      <c r="B171" s="52"/>
      <c r="C171" s="27"/>
      <c r="D171" s="53"/>
      <c r="E171" s="53"/>
      <c r="F171" s="53"/>
    </row>
    <row r="172" spans="1:6" x14ac:dyDescent="0.2">
      <c r="A172" s="27"/>
      <c r="B172" s="52"/>
      <c r="C172" s="27"/>
      <c r="D172" s="53"/>
      <c r="E172" s="53"/>
      <c r="F172" s="53"/>
    </row>
    <row r="173" spans="1:6" x14ac:dyDescent="0.2">
      <c r="A173" s="27"/>
      <c r="B173" s="52"/>
      <c r="C173" s="27"/>
      <c r="D173" s="53"/>
      <c r="E173" s="53"/>
      <c r="F173" s="53"/>
    </row>
    <row r="174" spans="1:6" x14ac:dyDescent="0.2">
      <c r="A174" s="27"/>
      <c r="B174" s="52"/>
      <c r="C174" s="27"/>
      <c r="D174" s="53"/>
      <c r="E174" s="53"/>
      <c r="F174" s="53"/>
    </row>
    <row r="175" spans="1:6" x14ac:dyDescent="0.2">
      <c r="A175" s="27"/>
      <c r="B175" s="52"/>
      <c r="C175" s="27"/>
      <c r="D175" s="53"/>
      <c r="E175" s="53"/>
      <c r="F175" s="53"/>
    </row>
    <row r="176" spans="1:6" x14ac:dyDescent="0.2">
      <c r="A176" s="27"/>
      <c r="B176" s="52"/>
      <c r="C176" s="27"/>
      <c r="D176" s="53"/>
      <c r="E176" s="53"/>
      <c r="F176" s="53"/>
    </row>
    <row r="177" spans="1:6" x14ac:dyDescent="0.2">
      <c r="A177" s="27"/>
      <c r="B177" s="52"/>
      <c r="C177" s="27"/>
      <c r="D177" s="53"/>
      <c r="E177" s="53"/>
      <c r="F177" s="53"/>
    </row>
    <row r="178" spans="1:6" x14ac:dyDescent="0.2">
      <c r="A178" s="27"/>
      <c r="B178" s="52"/>
      <c r="C178" s="27"/>
      <c r="D178" s="53"/>
      <c r="E178" s="53"/>
      <c r="F178" s="53"/>
    </row>
    <row r="179" spans="1:6" x14ac:dyDescent="0.2">
      <c r="A179" s="27"/>
      <c r="B179" s="52"/>
      <c r="C179" s="27"/>
      <c r="D179" s="53"/>
      <c r="E179" s="53"/>
      <c r="F179" s="53"/>
    </row>
    <row r="180" spans="1:6" x14ac:dyDescent="0.2">
      <c r="A180" s="27"/>
      <c r="B180" s="52"/>
      <c r="C180" s="27"/>
      <c r="D180" s="53"/>
      <c r="E180" s="53"/>
      <c r="F180" s="53"/>
    </row>
    <row r="181" spans="1:6" x14ac:dyDescent="0.2">
      <c r="A181" s="27"/>
      <c r="B181" s="52"/>
      <c r="C181" s="27"/>
      <c r="D181" s="53"/>
      <c r="E181" s="53"/>
      <c r="F181" s="53"/>
    </row>
    <row r="182" spans="1:6" x14ac:dyDescent="0.2">
      <c r="A182" s="27"/>
      <c r="B182" s="52"/>
      <c r="C182" s="27"/>
      <c r="D182" s="53"/>
      <c r="E182" s="53"/>
      <c r="F182" s="53"/>
    </row>
    <row r="183" spans="1:6" x14ac:dyDescent="0.2">
      <c r="A183" s="27"/>
      <c r="B183" s="52"/>
      <c r="C183" s="27"/>
      <c r="D183" s="53"/>
      <c r="E183" s="53"/>
      <c r="F183" s="53"/>
    </row>
    <row r="184" spans="1:6" x14ac:dyDescent="0.2">
      <c r="A184" s="27"/>
      <c r="B184" s="52"/>
      <c r="C184" s="27"/>
      <c r="D184" s="53"/>
      <c r="E184" s="53"/>
      <c r="F184" s="53"/>
    </row>
    <row r="185" spans="1:6" x14ac:dyDescent="0.2">
      <c r="A185" s="27"/>
      <c r="B185" s="52"/>
      <c r="C185" s="27"/>
      <c r="D185" s="53"/>
      <c r="E185" s="53"/>
      <c r="F185" s="53"/>
    </row>
    <row r="186" spans="1:6" x14ac:dyDescent="0.2">
      <c r="A186" s="27"/>
      <c r="B186" s="52"/>
      <c r="C186" s="27"/>
      <c r="D186" s="53"/>
      <c r="E186" s="53"/>
      <c r="F186" s="53"/>
    </row>
    <row r="187" spans="1:6" x14ac:dyDescent="0.2">
      <c r="A187" s="27"/>
      <c r="B187" s="52"/>
      <c r="C187" s="27"/>
      <c r="D187" s="53"/>
      <c r="E187" s="53"/>
      <c r="F187" s="53"/>
    </row>
    <row r="188" spans="1:6" x14ac:dyDescent="0.2">
      <c r="A188" s="27"/>
      <c r="B188" s="52"/>
      <c r="C188" s="27"/>
      <c r="D188" s="53"/>
      <c r="E188" s="53"/>
      <c r="F188" s="53"/>
    </row>
    <row r="189" spans="1:6" x14ac:dyDescent="0.2">
      <c r="A189" s="27"/>
      <c r="B189" s="52"/>
      <c r="C189" s="27"/>
      <c r="D189" s="53"/>
      <c r="E189" s="53"/>
      <c r="F189" s="53"/>
    </row>
    <row r="190" spans="1:6" x14ac:dyDescent="0.2">
      <c r="A190" s="27"/>
      <c r="B190" s="52"/>
      <c r="C190" s="27"/>
      <c r="D190" s="53"/>
      <c r="E190" s="53"/>
      <c r="F190" s="53"/>
    </row>
    <row r="191" spans="1:6" x14ac:dyDescent="0.2">
      <c r="A191" s="27"/>
      <c r="B191" s="52"/>
      <c r="C191" s="27"/>
      <c r="D191" s="53"/>
      <c r="E191" s="53"/>
      <c r="F191" s="53"/>
    </row>
    <row r="192" spans="1:6" x14ac:dyDescent="0.2">
      <c r="A192" s="27"/>
      <c r="B192" s="52"/>
      <c r="C192" s="27"/>
      <c r="D192" s="53"/>
      <c r="E192" s="53"/>
      <c r="F192" s="53"/>
    </row>
    <row r="193" spans="1:6" x14ac:dyDescent="0.2">
      <c r="A193" s="27"/>
      <c r="B193" s="52"/>
      <c r="C193" s="27"/>
      <c r="D193" s="53"/>
      <c r="E193" s="53"/>
      <c r="F193" s="53"/>
    </row>
    <row r="194" spans="1:6" x14ac:dyDescent="0.2">
      <c r="A194" s="27"/>
      <c r="B194" s="52"/>
      <c r="C194" s="27"/>
      <c r="D194" s="53"/>
      <c r="E194" s="53"/>
      <c r="F194" s="53"/>
    </row>
    <row r="195" spans="1:6" x14ac:dyDescent="0.2">
      <c r="A195" s="27"/>
      <c r="B195" s="52"/>
      <c r="C195" s="27"/>
      <c r="D195" s="53"/>
      <c r="E195" s="53"/>
      <c r="F195" s="53"/>
    </row>
    <row r="196" spans="1:6" x14ac:dyDescent="0.2">
      <c r="A196" s="27"/>
      <c r="B196" s="52"/>
      <c r="C196" s="27"/>
      <c r="D196" s="53"/>
      <c r="E196" s="53"/>
      <c r="F196" s="53"/>
    </row>
    <row r="197" spans="1:6" x14ac:dyDescent="0.2">
      <c r="A197" s="27"/>
      <c r="B197" s="52"/>
      <c r="C197" s="27"/>
      <c r="D197" s="53"/>
      <c r="E197" s="53"/>
      <c r="F197" s="53"/>
    </row>
    <row r="198" spans="1:6" x14ac:dyDescent="0.2">
      <c r="A198" s="27"/>
      <c r="B198" s="52"/>
      <c r="C198" s="27"/>
      <c r="D198" s="53"/>
      <c r="E198" s="53"/>
      <c r="F198" s="53"/>
    </row>
    <row r="199" spans="1:6" x14ac:dyDescent="0.2">
      <c r="A199" s="27"/>
      <c r="B199" s="52"/>
      <c r="C199" s="27"/>
      <c r="D199" s="53"/>
      <c r="E199" s="53"/>
      <c r="F199" s="53"/>
    </row>
    <row r="200" spans="1:6" x14ac:dyDescent="0.2">
      <c r="A200" s="27"/>
      <c r="B200" s="52"/>
      <c r="C200" s="27"/>
      <c r="D200" s="53"/>
      <c r="E200" s="53"/>
      <c r="F200" s="53"/>
    </row>
    <row r="201" spans="1:6" x14ac:dyDescent="0.2">
      <c r="A201" s="27"/>
      <c r="B201" s="52"/>
      <c r="C201" s="27"/>
      <c r="D201" s="53"/>
      <c r="E201" s="53"/>
      <c r="F201" s="53"/>
    </row>
    <row r="202" spans="1:6" x14ac:dyDescent="0.2">
      <c r="A202" s="27"/>
      <c r="B202" s="52"/>
      <c r="C202" s="27"/>
      <c r="D202" s="53"/>
      <c r="E202" s="53"/>
      <c r="F202" s="53"/>
    </row>
    <row r="203" spans="1:6" x14ac:dyDescent="0.2">
      <c r="A203" s="27"/>
      <c r="B203" s="52"/>
      <c r="C203" s="27"/>
      <c r="D203" s="53"/>
      <c r="E203" s="53"/>
      <c r="F203" s="53"/>
    </row>
    <row r="204" spans="1:6" x14ac:dyDescent="0.2">
      <c r="A204" s="27"/>
      <c r="B204" s="52"/>
      <c r="C204" s="27"/>
      <c r="D204" s="53"/>
      <c r="E204" s="53"/>
      <c r="F204" s="53"/>
    </row>
    <row r="205" spans="1:6" x14ac:dyDescent="0.2">
      <c r="A205" s="27"/>
      <c r="B205" s="52"/>
      <c r="C205" s="27"/>
      <c r="D205" s="53"/>
      <c r="E205" s="53"/>
      <c r="F205" s="53"/>
    </row>
    <row r="206" spans="1:6" x14ac:dyDescent="0.2">
      <c r="A206" s="27"/>
      <c r="B206" s="52"/>
      <c r="C206" s="27"/>
      <c r="D206" s="53"/>
      <c r="E206" s="53"/>
      <c r="F206" s="53"/>
    </row>
    <row r="207" spans="1:6" x14ac:dyDescent="0.2">
      <c r="A207" s="27"/>
      <c r="B207" s="52"/>
      <c r="C207" s="27"/>
      <c r="D207" s="53"/>
      <c r="E207" s="53"/>
      <c r="F207" s="53"/>
    </row>
    <row r="208" spans="1:6" x14ac:dyDescent="0.2">
      <c r="A208" s="27"/>
      <c r="B208" s="52"/>
      <c r="C208" s="27"/>
      <c r="D208" s="53"/>
      <c r="E208" s="53"/>
      <c r="F208" s="53"/>
    </row>
    <row r="209" spans="1:6" x14ac:dyDescent="0.2">
      <c r="A209" s="27"/>
      <c r="B209" s="52"/>
      <c r="C209" s="27"/>
      <c r="D209" s="53"/>
      <c r="E209" s="53"/>
      <c r="F209" s="53"/>
    </row>
    <row r="210" spans="1:6" x14ac:dyDescent="0.2">
      <c r="A210" s="27"/>
      <c r="B210" s="52"/>
      <c r="C210" s="27"/>
      <c r="D210" s="53"/>
      <c r="E210" s="53"/>
      <c r="F210" s="53"/>
    </row>
    <row r="211" spans="1:6" x14ac:dyDescent="0.2">
      <c r="A211" s="27"/>
      <c r="B211" s="52"/>
      <c r="C211" s="27"/>
      <c r="D211" s="53"/>
      <c r="E211" s="53"/>
      <c r="F211" s="53"/>
    </row>
    <row r="212" spans="1:6" x14ac:dyDescent="0.2">
      <c r="A212" s="27"/>
      <c r="B212" s="52"/>
      <c r="C212" s="27"/>
      <c r="D212" s="53"/>
      <c r="E212" s="53"/>
      <c r="F212" s="53"/>
    </row>
    <row r="213" spans="1:6" x14ac:dyDescent="0.2">
      <c r="A213" s="27"/>
      <c r="B213" s="52"/>
      <c r="C213" s="27"/>
      <c r="D213" s="53"/>
      <c r="E213" s="53"/>
      <c r="F213" s="53"/>
    </row>
    <row r="214" spans="1:6" x14ac:dyDescent="0.2">
      <c r="A214" s="27"/>
      <c r="B214" s="52"/>
      <c r="C214" s="27"/>
      <c r="D214" s="53"/>
      <c r="E214" s="53"/>
      <c r="F214" s="53"/>
    </row>
    <row r="215" spans="1:6" x14ac:dyDescent="0.2">
      <c r="A215" s="27"/>
      <c r="B215" s="52"/>
      <c r="C215" s="27"/>
      <c r="D215" s="53"/>
      <c r="E215" s="53"/>
      <c r="F215" s="53"/>
    </row>
    <row r="216" spans="1:6" x14ac:dyDescent="0.2">
      <c r="A216" s="27"/>
      <c r="B216" s="52"/>
      <c r="C216" s="27"/>
      <c r="D216" s="53"/>
      <c r="E216" s="53"/>
      <c r="F216" s="53"/>
    </row>
    <row r="217" spans="1:6" x14ac:dyDescent="0.2">
      <c r="A217" s="27"/>
      <c r="B217" s="52"/>
      <c r="C217" s="27"/>
      <c r="D217" s="53"/>
      <c r="E217" s="53"/>
      <c r="F217" s="53"/>
    </row>
    <row r="218" spans="1:6" x14ac:dyDescent="0.2">
      <c r="A218" s="27"/>
      <c r="B218" s="52"/>
      <c r="C218" s="27"/>
      <c r="D218" s="53"/>
      <c r="E218" s="53"/>
      <c r="F218" s="53"/>
    </row>
    <row r="219" spans="1:6" x14ac:dyDescent="0.2">
      <c r="A219" s="27"/>
      <c r="B219" s="52"/>
      <c r="C219" s="27"/>
      <c r="D219" s="53"/>
      <c r="E219" s="53"/>
      <c r="F219" s="53"/>
    </row>
    <row r="220" spans="1:6" x14ac:dyDescent="0.2">
      <c r="A220" s="27"/>
      <c r="B220" s="52"/>
      <c r="C220" s="27"/>
      <c r="D220" s="53"/>
      <c r="E220" s="53"/>
      <c r="F220" s="53"/>
    </row>
    <row r="221" spans="1:6" x14ac:dyDescent="0.2">
      <c r="A221" s="27"/>
      <c r="B221" s="52"/>
      <c r="C221" s="27"/>
      <c r="D221" s="53"/>
      <c r="E221" s="53"/>
      <c r="F221" s="53"/>
    </row>
    <row r="222" spans="1:6" x14ac:dyDescent="0.2">
      <c r="A222" s="27"/>
      <c r="B222" s="52"/>
      <c r="C222" s="27"/>
      <c r="D222" s="53"/>
      <c r="E222" s="53"/>
      <c r="F222" s="53"/>
    </row>
    <row r="223" spans="1:6" x14ac:dyDescent="0.2">
      <c r="A223" s="27"/>
      <c r="B223" s="52"/>
      <c r="C223" s="27"/>
      <c r="D223" s="53"/>
      <c r="E223" s="53"/>
      <c r="F223" s="53"/>
    </row>
    <row r="224" spans="1:6" x14ac:dyDescent="0.2">
      <c r="A224" s="27"/>
      <c r="B224" s="52"/>
      <c r="C224" s="27"/>
      <c r="D224" s="53"/>
      <c r="E224" s="53"/>
      <c r="F224" s="53"/>
    </row>
    <row r="225" spans="1:6" x14ac:dyDescent="0.2">
      <c r="A225" s="27"/>
      <c r="B225" s="52"/>
      <c r="C225" s="27"/>
      <c r="D225" s="53"/>
      <c r="E225" s="53"/>
      <c r="F225" s="53"/>
    </row>
    <row r="226" spans="1:6" x14ac:dyDescent="0.2">
      <c r="A226" s="27"/>
      <c r="B226" s="52"/>
      <c r="C226" s="27"/>
      <c r="D226" s="53"/>
      <c r="E226" s="53"/>
      <c r="F226" s="53"/>
    </row>
    <row r="227" spans="1:6" x14ac:dyDescent="0.2">
      <c r="A227" s="27"/>
      <c r="B227" s="52"/>
      <c r="C227" s="27"/>
      <c r="D227" s="53"/>
      <c r="E227" s="53"/>
      <c r="F227" s="53"/>
    </row>
    <row r="228" spans="1:6" x14ac:dyDescent="0.2">
      <c r="A228" s="27"/>
      <c r="B228" s="52"/>
      <c r="C228" s="27"/>
      <c r="D228" s="53"/>
      <c r="E228" s="53"/>
      <c r="F228" s="53"/>
    </row>
    <row r="229" spans="1:6" x14ac:dyDescent="0.2">
      <c r="A229" s="27"/>
      <c r="B229" s="52"/>
      <c r="C229" s="27"/>
      <c r="D229" s="53"/>
      <c r="E229" s="53"/>
      <c r="F229" s="53"/>
    </row>
    <row r="230" spans="1:6" x14ac:dyDescent="0.2">
      <c r="A230" s="27"/>
      <c r="B230" s="52"/>
      <c r="C230" s="27"/>
      <c r="D230" s="53"/>
      <c r="E230" s="53"/>
      <c r="F230" s="53"/>
    </row>
    <row r="231" spans="1:6" x14ac:dyDescent="0.2">
      <c r="A231" s="27"/>
      <c r="B231" s="52"/>
      <c r="C231" s="27"/>
      <c r="D231" s="53"/>
      <c r="E231" s="53"/>
      <c r="F231" s="53"/>
    </row>
    <row r="232" spans="1:6" x14ac:dyDescent="0.2">
      <c r="A232" s="27"/>
      <c r="B232" s="52"/>
      <c r="C232" s="27"/>
      <c r="D232" s="53"/>
      <c r="E232" s="53"/>
      <c r="F232" s="53"/>
    </row>
    <row r="233" spans="1:6" x14ac:dyDescent="0.2">
      <c r="A233" s="27"/>
      <c r="B233" s="52"/>
      <c r="C233" s="27"/>
      <c r="D233" s="53"/>
      <c r="E233" s="53"/>
      <c r="F233" s="53"/>
    </row>
    <row r="234" spans="1:6" x14ac:dyDescent="0.2">
      <c r="A234" s="27"/>
      <c r="B234" s="52"/>
      <c r="C234" s="27"/>
      <c r="D234" s="53"/>
      <c r="E234" s="53"/>
      <c r="F234" s="53"/>
    </row>
    <row r="235" spans="1:6" x14ac:dyDescent="0.2">
      <c r="A235" s="27"/>
      <c r="B235" s="52"/>
      <c r="C235" s="27"/>
      <c r="D235" s="53"/>
      <c r="E235" s="53"/>
      <c r="F235" s="53"/>
    </row>
    <row r="236" spans="1:6" x14ac:dyDescent="0.2">
      <c r="A236" s="27"/>
      <c r="B236" s="52"/>
      <c r="C236" s="27"/>
      <c r="D236" s="53"/>
      <c r="E236" s="53"/>
      <c r="F236" s="53"/>
    </row>
    <row r="237" spans="1:6" x14ac:dyDescent="0.2">
      <c r="A237" s="27"/>
      <c r="B237" s="52"/>
      <c r="C237" s="27"/>
      <c r="D237" s="53"/>
      <c r="E237" s="53"/>
      <c r="F237" s="53"/>
    </row>
    <row r="238" spans="1:6" x14ac:dyDescent="0.2">
      <c r="A238" s="27"/>
      <c r="B238" s="52"/>
      <c r="C238" s="27"/>
      <c r="D238" s="53"/>
      <c r="E238" s="53"/>
      <c r="F238" s="53"/>
    </row>
    <row r="239" spans="1:6" x14ac:dyDescent="0.2">
      <c r="A239" s="27"/>
      <c r="B239" s="52"/>
      <c r="C239" s="27"/>
      <c r="D239" s="53"/>
      <c r="E239" s="53"/>
      <c r="F239" s="53"/>
    </row>
    <row r="240" spans="1:6" x14ac:dyDescent="0.2">
      <c r="A240" s="27"/>
      <c r="B240" s="52"/>
      <c r="C240" s="27"/>
      <c r="D240" s="53"/>
      <c r="E240" s="53"/>
      <c r="F240" s="53"/>
    </row>
    <row r="241" spans="1:6" x14ac:dyDescent="0.2">
      <c r="A241" s="27"/>
      <c r="B241" s="52"/>
      <c r="C241" s="27"/>
      <c r="D241" s="53"/>
      <c r="E241" s="53"/>
      <c r="F241" s="53"/>
    </row>
    <row r="242" spans="1:6" x14ac:dyDescent="0.2">
      <c r="A242" s="27"/>
      <c r="B242" s="52"/>
      <c r="C242" s="27"/>
      <c r="D242" s="53"/>
      <c r="E242" s="53"/>
      <c r="F242" s="53"/>
    </row>
    <row r="243" spans="1:6" x14ac:dyDescent="0.2">
      <c r="A243" s="27"/>
      <c r="B243" s="52"/>
      <c r="C243" s="27"/>
      <c r="D243" s="53"/>
      <c r="E243" s="53"/>
      <c r="F243" s="53"/>
    </row>
    <row r="244" spans="1:6" x14ac:dyDescent="0.2">
      <c r="A244" s="27"/>
      <c r="B244" s="52"/>
      <c r="C244" s="27"/>
      <c r="D244" s="53"/>
      <c r="E244" s="53"/>
      <c r="F244" s="53"/>
    </row>
    <row r="245" spans="1:6" x14ac:dyDescent="0.2">
      <c r="A245" s="27"/>
      <c r="B245" s="52"/>
      <c r="C245" s="27"/>
      <c r="D245" s="53"/>
      <c r="E245" s="53"/>
      <c r="F245" s="53"/>
    </row>
    <row r="246" spans="1:6" x14ac:dyDescent="0.2">
      <c r="A246" s="27"/>
      <c r="B246" s="52"/>
      <c r="C246" s="27"/>
      <c r="D246" s="53"/>
      <c r="E246" s="53"/>
      <c r="F246" s="53"/>
    </row>
    <row r="247" spans="1:6" x14ac:dyDescent="0.2">
      <c r="A247" s="27"/>
      <c r="B247" s="52"/>
      <c r="C247" s="27"/>
      <c r="D247" s="53"/>
      <c r="E247" s="53"/>
      <c r="F247" s="53"/>
    </row>
    <row r="248" spans="1:6" x14ac:dyDescent="0.2">
      <c r="A248" s="27"/>
      <c r="B248" s="52"/>
      <c r="C248" s="27"/>
      <c r="D248" s="53"/>
      <c r="E248" s="53"/>
      <c r="F248" s="53"/>
    </row>
    <row r="249" spans="1:6" x14ac:dyDescent="0.2">
      <c r="A249" s="27"/>
      <c r="B249" s="52"/>
      <c r="C249" s="27"/>
      <c r="D249" s="53"/>
      <c r="E249" s="53"/>
      <c r="F249" s="53"/>
    </row>
    <row r="250" spans="1:6" x14ac:dyDescent="0.2">
      <c r="A250" s="27"/>
      <c r="B250" s="52"/>
      <c r="C250" s="27"/>
      <c r="D250" s="53"/>
      <c r="E250" s="53"/>
      <c r="F250" s="53"/>
    </row>
    <row r="251" spans="1:6" x14ac:dyDescent="0.2">
      <c r="A251" s="27"/>
      <c r="B251" s="52"/>
      <c r="C251" s="27"/>
      <c r="D251" s="53"/>
      <c r="E251" s="53"/>
      <c r="F251" s="53"/>
    </row>
    <row r="252" spans="1:6" x14ac:dyDescent="0.2">
      <c r="A252" s="27"/>
      <c r="B252" s="52"/>
      <c r="C252" s="27"/>
      <c r="D252" s="53"/>
      <c r="E252" s="53"/>
      <c r="F252" s="53"/>
    </row>
    <row r="253" spans="1:6" x14ac:dyDescent="0.2">
      <c r="A253" s="27"/>
      <c r="B253" s="52"/>
      <c r="C253" s="27"/>
      <c r="D253" s="53"/>
      <c r="E253" s="53"/>
      <c r="F253" s="53"/>
    </row>
    <row r="254" spans="1:6" x14ac:dyDescent="0.2">
      <c r="A254" s="27"/>
      <c r="B254" s="52"/>
      <c r="C254" s="27"/>
      <c r="D254" s="53"/>
      <c r="E254" s="53"/>
      <c r="F254" s="53"/>
    </row>
    <row r="255" spans="1:6" x14ac:dyDescent="0.2">
      <c r="A255" s="27"/>
      <c r="B255" s="52"/>
      <c r="C255" s="27"/>
      <c r="D255" s="53"/>
      <c r="E255" s="53"/>
      <c r="F255" s="53"/>
    </row>
    <row r="256" spans="1:6" x14ac:dyDescent="0.2">
      <c r="A256" s="27"/>
      <c r="B256" s="52"/>
      <c r="C256" s="27"/>
      <c r="D256" s="53"/>
      <c r="E256" s="53"/>
      <c r="F256" s="53"/>
    </row>
    <row r="257" spans="1:6" x14ac:dyDescent="0.2">
      <c r="A257" s="27"/>
      <c r="B257" s="52"/>
      <c r="C257" s="27"/>
      <c r="D257" s="53"/>
      <c r="E257" s="53"/>
      <c r="F257" s="53"/>
    </row>
    <row r="258" spans="1:6" x14ac:dyDescent="0.2">
      <c r="A258" s="27"/>
      <c r="B258" s="52"/>
      <c r="C258" s="27"/>
      <c r="D258" s="53"/>
      <c r="E258" s="53"/>
      <c r="F258" s="53"/>
    </row>
    <row r="259" spans="1:6" x14ac:dyDescent="0.2">
      <c r="A259" s="27"/>
      <c r="B259" s="52"/>
      <c r="C259" s="27"/>
      <c r="D259" s="53"/>
      <c r="E259" s="53"/>
      <c r="F259" s="53"/>
    </row>
    <row r="260" spans="1:6" x14ac:dyDescent="0.2">
      <c r="A260" s="27"/>
      <c r="B260" s="52"/>
      <c r="C260" s="27"/>
      <c r="D260" s="53"/>
      <c r="E260" s="53"/>
      <c r="F260" s="53"/>
    </row>
    <row r="261" spans="1:6" x14ac:dyDescent="0.2">
      <c r="A261" s="27"/>
      <c r="B261" s="52"/>
      <c r="C261" s="27"/>
      <c r="D261" s="53"/>
      <c r="E261" s="53"/>
      <c r="F261" s="53"/>
    </row>
    <row r="262" spans="1:6" x14ac:dyDescent="0.2">
      <c r="A262" s="27"/>
      <c r="B262" s="52"/>
      <c r="C262" s="27"/>
      <c r="D262" s="53"/>
      <c r="E262" s="53"/>
      <c r="F262" s="53"/>
    </row>
    <row r="263" spans="1:6" x14ac:dyDescent="0.2">
      <c r="A263" s="27"/>
      <c r="B263" s="52"/>
      <c r="C263" s="27"/>
      <c r="D263" s="53"/>
      <c r="E263" s="53"/>
      <c r="F263" s="53"/>
    </row>
    <row r="264" spans="1:6" x14ac:dyDescent="0.2">
      <c r="A264" s="27"/>
      <c r="B264" s="52"/>
      <c r="C264" s="27"/>
      <c r="D264" s="53"/>
      <c r="E264" s="53"/>
      <c r="F264" s="53"/>
    </row>
    <row r="265" spans="1:6" x14ac:dyDescent="0.2">
      <c r="A265" s="27"/>
      <c r="B265" s="52"/>
      <c r="C265" s="27"/>
      <c r="D265" s="53"/>
      <c r="E265" s="53"/>
      <c r="F265" s="53"/>
    </row>
    <row r="266" spans="1:6" x14ac:dyDescent="0.2">
      <c r="A266" s="27"/>
      <c r="B266" s="52"/>
      <c r="C266" s="27"/>
      <c r="D266" s="53"/>
      <c r="E266" s="53"/>
      <c r="F266" s="53"/>
    </row>
    <row r="267" spans="1:6" x14ac:dyDescent="0.2">
      <c r="A267" s="27"/>
      <c r="B267" s="52"/>
      <c r="C267" s="27"/>
      <c r="D267" s="53"/>
      <c r="E267" s="53"/>
      <c r="F267" s="53"/>
    </row>
    <row r="268" spans="1:6" x14ac:dyDescent="0.2">
      <c r="A268" s="27"/>
      <c r="B268" s="52"/>
      <c r="C268" s="27"/>
      <c r="D268" s="53"/>
      <c r="E268" s="53"/>
      <c r="F268" s="53"/>
    </row>
    <row r="269" spans="1:6" x14ac:dyDescent="0.2">
      <c r="A269" s="27"/>
      <c r="B269" s="52"/>
      <c r="C269" s="27"/>
      <c r="D269" s="53"/>
      <c r="E269" s="53"/>
      <c r="F269" s="53"/>
    </row>
    <row r="270" spans="1:6" x14ac:dyDescent="0.2">
      <c r="A270" s="27"/>
      <c r="B270" s="52"/>
      <c r="C270" s="27"/>
      <c r="D270" s="53"/>
      <c r="E270" s="53"/>
      <c r="F270" s="53"/>
    </row>
    <row r="271" spans="1:6" x14ac:dyDescent="0.2">
      <c r="A271" s="27"/>
      <c r="B271" s="52"/>
      <c r="C271" s="27"/>
      <c r="D271" s="53"/>
      <c r="E271" s="53"/>
      <c r="F271" s="53"/>
    </row>
    <row r="272" spans="1:6" x14ac:dyDescent="0.2">
      <c r="A272" s="27"/>
      <c r="B272" s="52"/>
      <c r="C272" s="27"/>
      <c r="D272" s="53"/>
      <c r="E272" s="53"/>
      <c r="F272" s="53"/>
    </row>
    <row r="273" spans="1:6" x14ac:dyDescent="0.2">
      <c r="A273" s="27"/>
      <c r="B273" s="52"/>
      <c r="C273" s="27"/>
      <c r="D273" s="53"/>
      <c r="E273" s="53"/>
      <c r="F273" s="53"/>
    </row>
    <row r="274" spans="1:6" x14ac:dyDescent="0.2">
      <c r="A274" s="27"/>
      <c r="B274" s="52"/>
      <c r="C274" s="27"/>
      <c r="D274" s="53"/>
      <c r="E274" s="53"/>
      <c r="F274" s="53"/>
    </row>
    <row r="275" spans="1:6" x14ac:dyDescent="0.2">
      <c r="A275" s="27"/>
      <c r="B275" s="52"/>
      <c r="C275" s="27"/>
      <c r="D275" s="53"/>
      <c r="E275" s="53"/>
      <c r="F275" s="53"/>
    </row>
    <row r="276" spans="1:6" x14ac:dyDescent="0.2">
      <c r="A276" s="27"/>
      <c r="B276" s="52"/>
      <c r="C276" s="27"/>
      <c r="D276" s="53"/>
      <c r="E276" s="53"/>
      <c r="F276" s="53"/>
    </row>
    <row r="277" spans="1:6" x14ac:dyDescent="0.2">
      <c r="A277" s="27"/>
      <c r="B277" s="52"/>
      <c r="C277" s="27"/>
      <c r="D277" s="53"/>
      <c r="E277" s="53"/>
      <c r="F277" s="53"/>
    </row>
    <row r="278" spans="1:6" x14ac:dyDescent="0.2">
      <c r="A278" s="27"/>
      <c r="B278" s="52"/>
      <c r="C278" s="27"/>
      <c r="D278" s="53"/>
      <c r="E278" s="53"/>
      <c r="F278" s="53"/>
    </row>
    <row r="279" spans="1:6" x14ac:dyDescent="0.2">
      <c r="A279" s="27"/>
      <c r="B279" s="52"/>
      <c r="C279" s="27"/>
      <c r="D279" s="53"/>
      <c r="E279" s="53"/>
      <c r="F279" s="53"/>
    </row>
    <row r="280" spans="1:6" x14ac:dyDescent="0.2">
      <c r="A280" s="27"/>
      <c r="B280" s="52"/>
      <c r="C280" s="27"/>
      <c r="D280" s="53"/>
      <c r="E280" s="53"/>
      <c r="F280" s="53"/>
    </row>
    <row r="281" spans="1:6" x14ac:dyDescent="0.2">
      <c r="A281" s="27"/>
      <c r="B281" s="52"/>
      <c r="C281" s="27"/>
      <c r="D281" s="53"/>
      <c r="E281" s="53"/>
      <c r="F281" s="53"/>
    </row>
    <row r="282" spans="1:6" x14ac:dyDescent="0.2">
      <c r="A282" s="27"/>
      <c r="B282" s="52"/>
      <c r="C282" s="27"/>
      <c r="D282" s="53"/>
      <c r="E282" s="53"/>
      <c r="F282" s="53"/>
    </row>
    <row r="283" spans="1:6" x14ac:dyDescent="0.2">
      <c r="A283" s="27"/>
      <c r="B283" s="52"/>
      <c r="C283" s="27"/>
      <c r="D283" s="53"/>
      <c r="E283" s="53"/>
      <c r="F283" s="53"/>
    </row>
    <row r="284" spans="1:6" x14ac:dyDescent="0.2">
      <c r="A284" s="27"/>
      <c r="B284" s="52"/>
      <c r="C284" s="27"/>
      <c r="D284" s="53"/>
      <c r="E284" s="53"/>
      <c r="F284" s="53"/>
    </row>
    <row r="285" spans="1:6" x14ac:dyDescent="0.2">
      <c r="A285" s="27"/>
      <c r="B285" s="52"/>
      <c r="C285" s="27"/>
      <c r="D285" s="53"/>
      <c r="E285" s="53"/>
      <c r="F285" s="53"/>
    </row>
    <row r="286" spans="1:6" x14ac:dyDescent="0.2">
      <c r="A286" s="27"/>
      <c r="B286" s="52"/>
      <c r="C286" s="27"/>
      <c r="D286" s="53"/>
      <c r="E286" s="53"/>
      <c r="F286" s="53"/>
    </row>
    <row r="287" spans="1:6" x14ac:dyDescent="0.2">
      <c r="A287" s="27"/>
      <c r="B287" s="52"/>
      <c r="C287" s="27"/>
      <c r="D287" s="53"/>
      <c r="E287" s="53"/>
      <c r="F287" s="53"/>
    </row>
    <row r="288" spans="1:6" x14ac:dyDescent="0.2">
      <c r="A288" s="27"/>
      <c r="B288" s="52"/>
      <c r="C288" s="27"/>
      <c r="D288" s="53"/>
      <c r="E288" s="53"/>
      <c r="F288" s="53"/>
    </row>
    <row r="289" spans="1:6" x14ac:dyDescent="0.2">
      <c r="A289" s="27"/>
      <c r="B289" s="52"/>
      <c r="C289" s="27"/>
      <c r="D289" s="53"/>
      <c r="E289" s="53"/>
      <c r="F289" s="53"/>
    </row>
    <row r="290" spans="1:6" x14ac:dyDescent="0.2">
      <c r="A290" s="27"/>
      <c r="B290" s="52"/>
      <c r="C290" s="27"/>
      <c r="D290" s="53"/>
      <c r="E290" s="53"/>
      <c r="F290" s="53"/>
    </row>
    <row r="291" spans="1:6" x14ac:dyDescent="0.2">
      <c r="A291" s="27"/>
      <c r="B291" s="52"/>
      <c r="C291" s="27"/>
      <c r="D291" s="53"/>
      <c r="E291" s="53"/>
      <c r="F291" s="53"/>
    </row>
    <row r="292" spans="1:6" x14ac:dyDescent="0.2">
      <c r="A292" s="27"/>
      <c r="B292" s="52"/>
      <c r="C292" s="27"/>
      <c r="D292" s="53"/>
      <c r="E292" s="53"/>
      <c r="F292" s="53"/>
    </row>
    <row r="293" spans="1:6" x14ac:dyDescent="0.2">
      <c r="A293" s="27"/>
      <c r="B293" s="52"/>
      <c r="C293" s="27"/>
      <c r="D293" s="53"/>
      <c r="E293" s="53"/>
      <c r="F293" s="53"/>
    </row>
    <row r="294" spans="1:6" x14ac:dyDescent="0.2">
      <c r="A294" s="27"/>
      <c r="B294" s="52"/>
      <c r="C294" s="27"/>
      <c r="D294" s="53"/>
      <c r="E294" s="53"/>
      <c r="F294" s="53"/>
    </row>
    <row r="295" spans="1:6" x14ac:dyDescent="0.2">
      <c r="A295" s="27"/>
      <c r="B295" s="52"/>
      <c r="C295" s="27"/>
      <c r="D295" s="53"/>
      <c r="E295" s="53"/>
      <c r="F295" s="53"/>
    </row>
    <row r="296" spans="1:6" x14ac:dyDescent="0.2">
      <c r="A296" s="27"/>
      <c r="B296" s="52"/>
      <c r="C296" s="27"/>
      <c r="D296" s="53"/>
      <c r="E296" s="53"/>
      <c r="F296" s="53"/>
    </row>
    <row r="297" spans="1:6" x14ac:dyDescent="0.2">
      <c r="A297" s="27"/>
      <c r="B297" s="52"/>
      <c r="C297" s="27"/>
      <c r="D297" s="53"/>
      <c r="E297" s="53"/>
      <c r="F297" s="53"/>
    </row>
    <row r="298" spans="1:6" x14ac:dyDescent="0.2">
      <c r="A298" s="27"/>
      <c r="B298" s="52"/>
      <c r="C298" s="27"/>
      <c r="D298" s="53"/>
      <c r="E298" s="53"/>
      <c r="F298" s="53"/>
    </row>
    <row r="299" spans="1:6" x14ac:dyDescent="0.2">
      <c r="A299" s="27"/>
      <c r="B299" s="52"/>
      <c r="C299" s="27"/>
      <c r="D299" s="53"/>
      <c r="E299" s="53"/>
      <c r="F299" s="53"/>
    </row>
    <row r="300" spans="1:6" x14ac:dyDescent="0.2">
      <c r="A300" s="27"/>
      <c r="B300" s="52"/>
      <c r="C300" s="27"/>
      <c r="D300" s="53"/>
      <c r="E300" s="53"/>
      <c r="F300" s="53"/>
    </row>
    <row r="301" spans="1:6" x14ac:dyDescent="0.2">
      <c r="A301" s="27"/>
      <c r="B301" s="52"/>
      <c r="C301" s="27"/>
      <c r="D301" s="53"/>
      <c r="E301" s="53"/>
      <c r="F301" s="53"/>
    </row>
    <row r="302" spans="1:6" x14ac:dyDescent="0.2">
      <c r="A302" s="27"/>
      <c r="B302" s="52"/>
      <c r="C302" s="27"/>
      <c r="D302" s="53"/>
      <c r="E302" s="53"/>
      <c r="F302" s="53"/>
    </row>
    <row r="303" spans="1:6" x14ac:dyDescent="0.2">
      <c r="A303" s="27"/>
      <c r="B303" s="52"/>
      <c r="C303" s="27"/>
      <c r="D303" s="53"/>
      <c r="E303" s="53"/>
      <c r="F303" s="53"/>
    </row>
    <row r="304" spans="1:6" x14ac:dyDescent="0.2">
      <c r="A304" s="27"/>
      <c r="B304" s="52"/>
      <c r="C304" s="27"/>
      <c r="D304" s="53"/>
      <c r="E304" s="53"/>
      <c r="F304" s="53"/>
    </row>
    <row r="305" spans="1:6" x14ac:dyDescent="0.2">
      <c r="A305" s="27"/>
      <c r="B305" s="52"/>
      <c r="C305" s="27"/>
      <c r="D305" s="53"/>
      <c r="E305" s="53"/>
      <c r="F305" s="53"/>
    </row>
    <row r="306" spans="1:6" x14ac:dyDescent="0.2">
      <c r="A306" s="27"/>
      <c r="B306" s="52"/>
      <c r="C306" s="27"/>
      <c r="D306" s="53"/>
      <c r="E306" s="53"/>
      <c r="F306" s="53"/>
    </row>
    <row r="307" spans="1:6" x14ac:dyDescent="0.2">
      <c r="A307" s="27"/>
      <c r="B307" s="52"/>
      <c r="C307" s="27"/>
      <c r="D307" s="53"/>
      <c r="E307" s="53"/>
      <c r="F307" s="53"/>
    </row>
    <row r="308" spans="1:6" x14ac:dyDescent="0.2">
      <c r="A308" s="27"/>
      <c r="B308" s="52"/>
      <c r="C308" s="27"/>
      <c r="D308" s="53"/>
      <c r="E308" s="53"/>
      <c r="F308" s="53"/>
    </row>
    <row r="309" spans="1:6" x14ac:dyDescent="0.2">
      <c r="A309" s="27"/>
      <c r="B309" s="52"/>
      <c r="C309" s="27"/>
      <c r="D309" s="53"/>
      <c r="E309" s="53"/>
      <c r="F309" s="53"/>
    </row>
    <row r="310" spans="1:6" x14ac:dyDescent="0.2">
      <c r="A310" s="27"/>
      <c r="B310" s="52"/>
      <c r="C310" s="27"/>
      <c r="D310" s="53"/>
      <c r="E310" s="53"/>
      <c r="F310" s="53"/>
    </row>
    <row r="311" spans="1:6" x14ac:dyDescent="0.2">
      <c r="A311" s="27"/>
      <c r="B311" s="52"/>
      <c r="C311" s="27"/>
      <c r="D311" s="53"/>
      <c r="E311" s="53"/>
      <c r="F311" s="53"/>
    </row>
    <row r="312" spans="1:6" x14ac:dyDescent="0.2">
      <c r="A312" s="27"/>
      <c r="B312" s="52"/>
      <c r="C312" s="27"/>
      <c r="D312" s="53"/>
      <c r="E312" s="53"/>
      <c r="F312" s="53"/>
    </row>
    <row r="313" spans="1:6" x14ac:dyDescent="0.2">
      <c r="A313" s="27"/>
      <c r="B313" s="52"/>
      <c r="C313" s="27"/>
      <c r="D313" s="53"/>
      <c r="E313" s="53"/>
      <c r="F313" s="53"/>
    </row>
    <row r="314" spans="1:6" x14ac:dyDescent="0.2">
      <c r="A314" s="27"/>
      <c r="B314" s="52"/>
      <c r="C314" s="27"/>
      <c r="D314" s="53"/>
      <c r="E314" s="53"/>
      <c r="F314" s="53"/>
    </row>
    <row r="315" spans="1:6" x14ac:dyDescent="0.2">
      <c r="A315" s="27"/>
      <c r="B315" s="52"/>
      <c r="C315" s="27"/>
      <c r="D315" s="53"/>
      <c r="E315" s="53"/>
      <c r="F315" s="53"/>
    </row>
    <row r="316" spans="1:6" x14ac:dyDescent="0.2">
      <c r="A316" s="27"/>
      <c r="B316" s="52"/>
      <c r="C316" s="27"/>
      <c r="D316" s="53"/>
      <c r="E316" s="53"/>
      <c r="F316" s="53"/>
    </row>
    <row r="317" spans="1:6" x14ac:dyDescent="0.2">
      <c r="A317" s="27"/>
      <c r="B317" s="52"/>
      <c r="C317" s="27"/>
      <c r="D317" s="53"/>
      <c r="E317" s="53"/>
      <c r="F317" s="53"/>
    </row>
    <row r="318" spans="1:6" x14ac:dyDescent="0.2">
      <c r="A318" s="27"/>
      <c r="B318" s="52"/>
      <c r="C318" s="27"/>
      <c r="D318" s="53"/>
      <c r="E318" s="53"/>
      <c r="F318" s="53"/>
    </row>
    <row r="319" spans="1:6" x14ac:dyDescent="0.2">
      <c r="A319" s="27"/>
      <c r="B319" s="52"/>
      <c r="C319" s="27"/>
      <c r="D319" s="53"/>
      <c r="E319" s="53"/>
      <c r="F319" s="53"/>
    </row>
    <row r="320" spans="1:6" x14ac:dyDescent="0.2">
      <c r="A320" s="27"/>
      <c r="B320" s="52"/>
      <c r="C320" s="27"/>
      <c r="D320" s="53"/>
      <c r="E320" s="53"/>
      <c r="F320" s="53"/>
    </row>
    <row r="321" spans="1:6" x14ac:dyDescent="0.2">
      <c r="A321" s="27"/>
      <c r="B321" s="52"/>
      <c r="C321" s="27"/>
      <c r="D321" s="53"/>
      <c r="E321" s="53"/>
      <c r="F321" s="53"/>
    </row>
    <row r="322" spans="1:6" x14ac:dyDescent="0.2">
      <c r="A322" s="27"/>
      <c r="B322" s="52"/>
      <c r="C322" s="27"/>
      <c r="D322" s="53"/>
      <c r="E322" s="53"/>
      <c r="F322" s="53"/>
    </row>
    <row r="323" spans="1:6" x14ac:dyDescent="0.2">
      <c r="A323" s="27"/>
      <c r="B323" s="52"/>
      <c r="C323" s="27"/>
      <c r="D323" s="53"/>
      <c r="E323" s="53"/>
      <c r="F323" s="53"/>
    </row>
    <row r="324" spans="1:6" x14ac:dyDescent="0.2">
      <c r="A324" s="27"/>
      <c r="B324" s="52"/>
      <c r="C324" s="27"/>
      <c r="D324" s="53"/>
      <c r="E324" s="53"/>
      <c r="F324" s="53"/>
    </row>
    <row r="325" spans="1:6" x14ac:dyDescent="0.2">
      <c r="A325" s="27"/>
      <c r="B325" s="52"/>
      <c r="C325" s="27"/>
      <c r="D325" s="53"/>
      <c r="E325" s="53"/>
      <c r="F325" s="53"/>
    </row>
    <row r="326" spans="1:6" x14ac:dyDescent="0.2">
      <c r="A326" s="27"/>
      <c r="B326" s="52"/>
      <c r="C326" s="27"/>
      <c r="D326" s="53"/>
      <c r="E326" s="53"/>
      <c r="F326" s="53"/>
    </row>
    <row r="327" spans="1:6" x14ac:dyDescent="0.2">
      <c r="A327" s="27"/>
      <c r="B327" s="52"/>
      <c r="C327" s="27"/>
      <c r="D327" s="53"/>
      <c r="E327" s="53"/>
      <c r="F327" s="53"/>
    </row>
    <row r="328" spans="1:6" x14ac:dyDescent="0.2">
      <c r="A328" s="27"/>
      <c r="B328" s="52"/>
      <c r="C328" s="27"/>
      <c r="D328" s="53"/>
      <c r="E328" s="53"/>
      <c r="F328" s="53"/>
    </row>
    <row r="329" spans="1:6" x14ac:dyDescent="0.2">
      <c r="A329" s="27"/>
      <c r="B329" s="52"/>
      <c r="C329" s="27"/>
      <c r="D329" s="53"/>
      <c r="E329" s="53"/>
      <c r="F329" s="53"/>
    </row>
    <row r="330" spans="1:6" x14ac:dyDescent="0.2">
      <c r="A330" s="27"/>
      <c r="B330" s="52"/>
      <c r="C330" s="27"/>
      <c r="D330" s="53"/>
      <c r="E330" s="53"/>
      <c r="F330" s="53"/>
    </row>
    <row r="331" spans="1:6" x14ac:dyDescent="0.2">
      <c r="A331" s="27"/>
      <c r="B331" s="52"/>
      <c r="C331" s="27"/>
      <c r="D331" s="53"/>
      <c r="E331" s="53"/>
      <c r="F331" s="53"/>
    </row>
    <row r="332" spans="1:6" x14ac:dyDescent="0.2">
      <c r="A332" s="27"/>
      <c r="B332" s="52"/>
      <c r="C332" s="27"/>
      <c r="D332" s="53"/>
      <c r="E332" s="53"/>
      <c r="F332" s="53"/>
    </row>
    <row r="333" spans="1:6" x14ac:dyDescent="0.2">
      <c r="A333" s="27"/>
      <c r="B333" s="52"/>
      <c r="C333" s="27"/>
      <c r="D333" s="53"/>
      <c r="E333" s="53"/>
      <c r="F333" s="53"/>
    </row>
    <row r="334" spans="1:6" x14ac:dyDescent="0.2">
      <c r="A334" s="27"/>
      <c r="B334" s="52"/>
      <c r="C334" s="27"/>
      <c r="D334" s="53"/>
      <c r="E334" s="53"/>
      <c r="F334" s="53"/>
    </row>
    <row r="335" spans="1:6" x14ac:dyDescent="0.2">
      <c r="A335" s="27"/>
      <c r="B335" s="52"/>
      <c r="C335" s="27"/>
      <c r="D335" s="53"/>
      <c r="E335" s="53"/>
      <c r="F335" s="53"/>
    </row>
    <row r="336" spans="1:6" x14ac:dyDescent="0.2">
      <c r="A336" s="27"/>
      <c r="B336" s="52"/>
      <c r="C336" s="27"/>
      <c r="D336" s="53"/>
      <c r="E336" s="53"/>
      <c r="F336" s="53"/>
    </row>
    <row r="337" spans="1:6" x14ac:dyDescent="0.2">
      <c r="A337" s="27"/>
      <c r="B337" s="52"/>
      <c r="C337" s="27"/>
      <c r="D337" s="53"/>
      <c r="E337" s="53"/>
      <c r="F337" s="53"/>
    </row>
    <row r="338" spans="1:6" x14ac:dyDescent="0.2">
      <c r="A338" s="27"/>
      <c r="B338" s="52"/>
      <c r="C338" s="27"/>
      <c r="D338" s="53"/>
      <c r="E338" s="53"/>
      <c r="F338" s="53"/>
    </row>
    <row r="339" spans="1:6" x14ac:dyDescent="0.2">
      <c r="A339" s="27"/>
      <c r="B339" s="52"/>
      <c r="C339" s="27"/>
      <c r="D339" s="53"/>
      <c r="E339" s="53"/>
      <c r="F339" s="53"/>
    </row>
    <row r="340" spans="1:6" x14ac:dyDescent="0.2">
      <c r="A340" s="27"/>
      <c r="B340" s="52"/>
      <c r="C340" s="27"/>
      <c r="D340" s="53"/>
      <c r="E340" s="53"/>
      <c r="F340" s="53"/>
    </row>
    <row r="341" spans="1:6" x14ac:dyDescent="0.2">
      <c r="A341" s="27"/>
      <c r="B341" s="52"/>
      <c r="C341" s="27"/>
      <c r="D341" s="53"/>
      <c r="E341" s="53"/>
      <c r="F341" s="53"/>
    </row>
    <row r="342" spans="1:6" x14ac:dyDescent="0.2">
      <c r="A342" s="27"/>
      <c r="B342" s="52"/>
      <c r="C342" s="27"/>
      <c r="D342" s="53"/>
      <c r="E342" s="53"/>
      <c r="F342" s="53"/>
    </row>
    <row r="343" spans="1:6" x14ac:dyDescent="0.2">
      <c r="A343" s="27"/>
      <c r="B343" s="52"/>
      <c r="C343" s="27"/>
      <c r="D343" s="53"/>
      <c r="E343" s="53"/>
      <c r="F343" s="53"/>
    </row>
    <row r="344" spans="1:6" x14ac:dyDescent="0.2">
      <c r="A344" s="27"/>
      <c r="B344" s="52"/>
      <c r="C344" s="27"/>
      <c r="D344" s="53"/>
      <c r="E344" s="53"/>
      <c r="F344" s="53"/>
    </row>
    <row r="345" spans="1:6" x14ac:dyDescent="0.2">
      <c r="A345" s="27"/>
      <c r="B345" s="52"/>
      <c r="C345" s="27"/>
      <c r="D345" s="53"/>
      <c r="E345" s="53"/>
      <c r="F345" s="53"/>
    </row>
    <row r="346" spans="1:6" x14ac:dyDescent="0.2">
      <c r="A346" s="27"/>
      <c r="B346" s="52"/>
      <c r="C346" s="27"/>
      <c r="D346" s="53"/>
      <c r="E346" s="53"/>
      <c r="F346" s="53"/>
    </row>
    <row r="347" spans="1:6" x14ac:dyDescent="0.2">
      <c r="A347" s="27"/>
      <c r="B347" s="52"/>
      <c r="C347" s="27"/>
      <c r="D347" s="53"/>
      <c r="E347" s="53"/>
      <c r="F347" s="53"/>
    </row>
    <row r="348" spans="1:6" x14ac:dyDescent="0.2">
      <c r="A348" s="27"/>
      <c r="B348" s="52"/>
      <c r="C348" s="27"/>
      <c r="D348" s="53"/>
      <c r="E348" s="53"/>
      <c r="F348" s="53"/>
    </row>
    <row r="349" spans="1:6" x14ac:dyDescent="0.2">
      <c r="A349" s="27"/>
      <c r="B349" s="52"/>
      <c r="C349" s="27"/>
      <c r="D349" s="53"/>
      <c r="E349" s="53"/>
      <c r="F349" s="53"/>
    </row>
    <row r="350" spans="1:6" x14ac:dyDescent="0.2">
      <c r="A350" s="27"/>
      <c r="B350" s="52"/>
      <c r="C350" s="27"/>
      <c r="D350" s="53"/>
      <c r="E350" s="53"/>
      <c r="F350" s="53"/>
    </row>
    <row r="351" spans="1:6" x14ac:dyDescent="0.2">
      <c r="A351" s="27"/>
      <c r="B351" s="52"/>
      <c r="C351" s="27"/>
      <c r="D351" s="53"/>
      <c r="E351" s="53"/>
      <c r="F351" s="53"/>
    </row>
    <row r="352" spans="1:6" x14ac:dyDescent="0.2">
      <c r="A352" s="27"/>
      <c r="B352" s="52"/>
      <c r="C352" s="27"/>
      <c r="D352" s="53"/>
      <c r="E352" s="53"/>
      <c r="F352" s="53"/>
    </row>
    <row r="353" spans="1:6" x14ac:dyDescent="0.2">
      <c r="A353" s="27"/>
      <c r="B353" s="52"/>
      <c r="C353" s="27"/>
      <c r="D353" s="53"/>
      <c r="E353" s="53"/>
      <c r="F353" s="53"/>
    </row>
    <row r="354" spans="1:6" x14ac:dyDescent="0.2">
      <c r="A354" s="27"/>
      <c r="B354" s="52"/>
      <c r="C354" s="27"/>
      <c r="D354" s="53"/>
      <c r="E354" s="53"/>
      <c r="F354" s="53"/>
    </row>
    <row r="355" spans="1:6" x14ac:dyDescent="0.2">
      <c r="A355" s="27"/>
      <c r="B355" s="52"/>
      <c r="C355" s="27"/>
      <c r="D355" s="53"/>
      <c r="E355" s="53"/>
      <c r="F355" s="53"/>
    </row>
    <row r="356" spans="1:6" x14ac:dyDescent="0.2">
      <c r="A356" s="27"/>
      <c r="B356" s="52"/>
      <c r="C356" s="27"/>
      <c r="D356" s="53"/>
      <c r="E356" s="53"/>
      <c r="F356" s="53"/>
    </row>
    <row r="357" spans="1:6" x14ac:dyDescent="0.2">
      <c r="A357" s="27"/>
      <c r="B357" s="52"/>
      <c r="C357" s="27"/>
      <c r="D357" s="53"/>
      <c r="E357" s="53"/>
      <c r="F357" s="53"/>
    </row>
    <row r="358" spans="1:6" x14ac:dyDescent="0.2">
      <c r="A358" s="27"/>
      <c r="B358" s="52"/>
      <c r="C358" s="27"/>
      <c r="D358" s="53"/>
      <c r="E358" s="53"/>
      <c r="F358" s="53"/>
    </row>
    <row r="359" spans="1:6" x14ac:dyDescent="0.2">
      <c r="A359" s="27"/>
      <c r="B359" s="52"/>
      <c r="C359" s="27"/>
      <c r="D359" s="53"/>
      <c r="E359" s="53"/>
      <c r="F359" s="53"/>
    </row>
    <row r="360" spans="1:6" x14ac:dyDescent="0.2">
      <c r="A360" s="27"/>
      <c r="B360" s="52"/>
      <c r="C360" s="27"/>
      <c r="D360" s="53"/>
      <c r="E360" s="53"/>
      <c r="F360" s="53"/>
    </row>
    <row r="361" spans="1:6" x14ac:dyDescent="0.2">
      <c r="A361" s="27"/>
      <c r="B361" s="52"/>
      <c r="C361" s="27"/>
      <c r="D361" s="53"/>
      <c r="E361" s="53"/>
      <c r="F361" s="53"/>
    </row>
    <row r="362" spans="1:6" x14ac:dyDescent="0.2">
      <c r="A362" s="27"/>
      <c r="B362" s="52"/>
      <c r="C362" s="27"/>
      <c r="D362" s="53"/>
      <c r="E362" s="53"/>
      <c r="F362" s="53"/>
    </row>
    <row r="363" spans="1:6" x14ac:dyDescent="0.2">
      <c r="A363" s="27"/>
      <c r="B363" s="52"/>
      <c r="C363" s="27"/>
      <c r="D363" s="53"/>
      <c r="E363" s="53"/>
      <c r="F363" s="53"/>
    </row>
    <row r="364" spans="1:6" x14ac:dyDescent="0.2">
      <c r="A364" s="27"/>
      <c r="B364" s="52"/>
      <c r="C364" s="27"/>
      <c r="D364" s="53"/>
      <c r="E364" s="53"/>
      <c r="F364" s="53"/>
    </row>
    <row r="365" spans="1:6" x14ac:dyDescent="0.2">
      <c r="A365" s="27"/>
      <c r="B365" s="52"/>
      <c r="C365" s="27"/>
      <c r="D365" s="53"/>
      <c r="E365" s="53"/>
      <c r="F365" s="53"/>
    </row>
    <row r="366" spans="1:6" x14ac:dyDescent="0.2">
      <c r="A366" s="27"/>
      <c r="B366" s="52"/>
      <c r="C366" s="27"/>
      <c r="D366" s="53"/>
      <c r="E366" s="53"/>
      <c r="F366" s="53"/>
    </row>
    <row r="367" spans="1:6" x14ac:dyDescent="0.2">
      <c r="A367" s="27"/>
      <c r="B367" s="52"/>
      <c r="C367" s="27"/>
      <c r="D367" s="53"/>
      <c r="E367" s="53"/>
      <c r="F367" s="53"/>
    </row>
    <row r="368" spans="1:6" x14ac:dyDescent="0.2">
      <c r="A368" s="27"/>
      <c r="B368" s="52"/>
      <c r="C368" s="27"/>
      <c r="D368" s="53"/>
      <c r="E368" s="53"/>
      <c r="F368" s="53"/>
    </row>
    <row r="369" spans="1:6" x14ac:dyDescent="0.2">
      <c r="A369" s="27"/>
      <c r="B369" s="52"/>
      <c r="C369" s="27"/>
      <c r="D369" s="53"/>
      <c r="E369" s="53"/>
      <c r="F369" s="53"/>
    </row>
    <row r="370" spans="1:6" x14ac:dyDescent="0.2">
      <c r="A370" s="27"/>
      <c r="B370" s="52"/>
      <c r="C370" s="27"/>
      <c r="D370" s="53"/>
      <c r="E370" s="53"/>
      <c r="F370" s="53"/>
    </row>
    <row r="371" spans="1:6" x14ac:dyDescent="0.2">
      <c r="A371" s="27"/>
      <c r="B371" s="52"/>
      <c r="C371" s="27"/>
      <c r="D371" s="53"/>
      <c r="E371" s="53"/>
      <c r="F371" s="53"/>
    </row>
    <row r="372" spans="1:6" x14ac:dyDescent="0.2">
      <c r="A372" s="27"/>
      <c r="B372" s="52"/>
      <c r="C372" s="27"/>
      <c r="D372" s="53"/>
      <c r="E372" s="53"/>
      <c r="F372" s="53"/>
    </row>
    <row r="373" spans="1:6" x14ac:dyDescent="0.2">
      <c r="A373" s="27"/>
      <c r="B373" s="52"/>
      <c r="C373" s="27"/>
      <c r="D373" s="53"/>
      <c r="E373" s="53"/>
      <c r="F373" s="53"/>
    </row>
    <row r="374" spans="1:6" x14ac:dyDescent="0.2">
      <c r="A374" s="27"/>
      <c r="B374" s="52"/>
      <c r="C374" s="27"/>
      <c r="D374" s="53"/>
      <c r="E374" s="53"/>
      <c r="F374" s="53"/>
    </row>
    <row r="375" spans="1:6" x14ac:dyDescent="0.2">
      <c r="A375" s="27"/>
      <c r="B375" s="52"/>
      <c r="C375" s="27"/>
      <c r="D375" s="53"/>
      <c r="E375" s="53"/>
      <c r="F375" s="53"/>
    </row>
    <row r="376" spans="1:6" x14ac:dyDescent="0.2">
      <c r="A376" s="27"/>
      <c r="B376" s="52"/>
      <c r="C376" s="27"/>
      <c r="D376" s="53"/>
      <c r="E376" s="53"/>
      <c r="F376" s="53"/>
    </row>
    <row r="377" spans="1:6" x14ac:dyDescent="0.2">
      <c r="A377" s="27"/>
      <c r="B377" s="52"/>
      <c r="C377" s="27"/>
      <c r="D377" s="53"/>
      <c r="E377" s="53"/>
      <c r="F377" s="53"/>
    </row>
    <row r="378" spans="1:6" x14ac:dyDescent="0.2">
      <c r="A378" s="27"/>
      <c r="B378" s="52"/>
      <c r="C378" s="27"/>
      <c r="D378" s="53"/>
      <c r="E378" s="53"/>
      <c r="F378" s="53"/>
    </row>
    <row r="379" spans="1:6" x14ac:dyDescent="0.2">
      <c r="A379" s="27"/>
      <c r="B379" s="52"/>
      <c r="C379" s="27"/>
      <c r="D379" s="53"/>
      <c r="E379" s="53"/>
      <c r="F379" s="53"/>
    </row>
    <row r="380" spans="1:6" x14ac:dyDescent="0.2">
      <c r="A380" s="27"/>
      <c r="B380" s="52"/>
      <c r="C380" s="27"/>
      <c r="D380" s="53"/>
      <c r="E380" s="53"/>
      <c r="F380" s="53"/>
    </row>
    <row r="381" spans="1:6" x14ac:dyDescent="0.2">
      <c r="A381" s="27"/>
      <c r="B381" s="52"/>
      <c r="C381" s="27"/>
      <c r="D381" s="53"/>
      <c r="E381" s="53"/>
      <c r="F381" s="53"/>
    </row>
    <row r="382" spans="1:6" x14ac:dyDescent="0.2">
      <c r="A382" s="27"/>
      <c r="B382" s="52"/>
      <c r="C382" s="27"/>
      <c r="D382" s="53"/>
      <c r="E382" s="53"/>
      <c r="F382" s="53"/>
    </row>
    <row r="383" spans="1:6" x14ac:dyDescent="0.2">
      <c r="A383" s="27"/>
      <c r="B383" s="52"/>
      <c r="C383" s="27"/>
      <c r="D383" s="53"/>
      <c r="E383" s="53"/>
      <c r="F383" s="53"/>
    </row>
    <row r="384" spans="1:6" x14ac:dyDescent="0.2">
      <c r="A384" s="27"/>
      <c r="B384" s="52"/>
      <c r="C384" s="27"/>
      <c r="D384" s="53"/>
      <c r="E384" s="53"/>
      <c r="F384" s="53"/>
    </row>
    <row r="385" spans="1:6" x14ac:dyDescent="0.2">
      <c r="A385" s="27"/>
      <c r="B385" s="52"/>
      <c r="C385" s="27"/>
      <c r="D385" s="53"/>
      <c r="E385" s="53"/>
      <c r="F385" s="53"/>
    </row>
    <row r="386" spans="1:6" x14ac:dyDescent="0.2">
      <c r="A386" s="27"/>
      <c r="B386" s="52"/>
      <c r="C386" s="27"/>
      <c r="D386" s="53"/>
      <c r="E386" s="53"/>
      <c r="F386" s="53"/>
    </row>
    <row r="387" spans="1:6" x14ac:dyDescent="0.2">
      <c r="A387" s="27"/>
      <c r="B387" s="52"/>
      <c r="C387" s="27"/>
      <c r="D387" s="53"/>
      <c r="E387" s="53"/>
      <c r="F387" s="53"/>
    </row>
    <row r="388" spans="1:6" x14ac:dyDescent="0.2">
      <c r="A388" s="27"/>
      <c r="B388" s="52"/>
      <c r="C388" s="27"/>
      <c r="D388" s="53"/>
      <c r="E388" s="53"/>
      <c r="F388" s="53"/>
    </row>
    <row r="389" spans="1:6" x14ac:dyDescent="0.2">
      <c r="A389" s="27"/>
      <c r="B389" s="52"/>
      <c r="C389" s="27"/>
      <c r="D389" s="53"/>
      <c r="E389" s="53"/>
      <c r="F389" s="53"/>
    </row>
    <row r="390" spans="1:6" x14ac:dyDescent="0.2">
      <c r="A390" s="27"/>
      <c r="B390" s="52"/>
      <c r="C390" s="27"/>
      <c r="D390" s="53"/>
      <c r="E390" s="53"/>
      <c r="F390" s="53"/>
    </row>
    <row r="391" spans="1:6" x14ac:dyDescent="0.2">
      <c r="A391" s="27"/>
      <c r="B391" s="52"/>
      <c r="C391" s="27"/>
      <c r="D391" s="53"/>
      <c r="E391" s="53"/>
      <c r="F391" s="53"/>
    </row>
    <row r="392" spans="1:6" x14ac:dyDescent="0.2">
      <c r="A392" s="27"/>
      <c r="B392" s="52"/>
      <c r="C392" s="27"/>
      <c r="D392" s="53"/>
      <c r="E392" s="53"/>
      <c r="F392" s="53"/>
    </row>
    <row r="393" spans="1:6" x14ac:dyDescent="0.2">
      <c r="A393" s="27"/>
      <c r="B393" s="52"/>
      <c r="C393" s="27"/>
      <c r="D393" s="53"/>
      <c r="E393" s="53"/>
      <c r="F393" s="53"/>
    </row>
    <row r="394" spans="1:6" x14ac:dyDescent="0.2">
      <c r="A394" s="27"/>
      <c r="B394" s="52"/>
      <c r="C394" s="27"/>
      <c r="D394" s="53"/>
      <c r="E394" s="53"/>
      <c r="F394" s="53"/>
    </row>
    <row r="395" spans="1:6" x14ac:dyDescent="0.2">
      <c r="A395" s="27"/>
      <c r="B395" s="52"/>
      <c r="C395" s="27"/>
      <c r="D395" s="53"/>
      <c r="E395" s="53"/>
      <c r="F395" s="53"/>
    </row>
    <row r="396" spans="1:6" x14ac:dyDescent="0.2">
      <c r="A396" s="27"/>
      <c r="B396" s="52"/>
      <c r="C396" s="27"/>
      <c r="D396" s="53"/>
      <c r="E396" s="53"/>
      <c r="F396" s="53"/>
    </row>
    <row r="397" spans="1:6" x14ac:dyDescent="0.2">
      <c r="A397" s="27"/>
      <c r="B397" s="52"/>
      <c r="C397" s="27"/>
      <c r="D397" s="53"/>
      <c r="E397" s="53"/>
      <c r="F397" s="53"/>
    </row>
    <row r="398" spans="1:6" x14ac:dyDescent="0.2">
      <c r="A398" s="27"/>
      <c r="B398" s="52"/>
      <c r="C398" s="27"/>
      <c r="D398" s="53"/>
      <c r="E398" s="53"/>
      <c r="F398" s="53"/>
    </row>
    <row r="399" spans="1:6" x14ac:dyDescent="0.2">
      <c r="A399" s="27"/>
      <c r="B399" s="52"/>
      <c r="C399" s="27"/>
      <c r="D399" s="53"/>
      <c r="E399" s="53"/>
      <c r="F399" s="53"/>
    </row>
    <row r="400" spans="1:6" x14ac:dyDescent="0.2">
      <c r="A400" s="27"/>
      <c r="B400" s="52"/>
      <c r="C400" s="27"/>
      <c r="D400" s="53"/>
      <c r="E400" s="53"/>
      <c r="F400" s="53"/>
    </row>
    <row r="401" spans="1:6" x14ac:dyDescent="0.2">
      <c r="A401" s="27"/>
      <c r="B401" s="52"/>
      <c r="C401" s="27"/>
      <c r="D401" s="53"/>
      <c r="E401" s="53"/>
      <c r="F401" s="53"/>
    </row>
    <row r="402" spans="1:6" x14ac:dyDescent="0.2">
      <c r="A402" s="27"/>
      <c r="B402" s="52"/>
      <c r="C402" s="27"/>
      <c r="D402" s="53"/>
      <c r="E402" s="53"/>
      <c r="F402" s="53"/>
    </row>
    <row r="403" spans="1:6" x14ac:dyDescent="0.2">
      <c r="A403" s="27"/>
      <c r="B403" s="52"/>
      <c r="C403" s="27"/>
      <c r="D403" s="53"/>
      <c r="E403" s="53"/>
      <c r="F403" s="53"/>
    </row>
    <row r="404" spans="1:6" x14ac:dyDescent="0.2">
      <c r="A404" s="27"/>
      <c r="B404" s="52"/>
      <c r="C404" s="27"/>
      <c r="D404" s="53"/>
      <c r="E404" s="53"/>
      <c r="F404" s="53"/>
    </row>
    <row r="405" spans="1:6" x14ac:dyDescent="0.2">
      <c r="A405" s="27"/>
      <c r="B405" s="52"/>
      <c r="C405" s="27"/>
      <c r="D405" s="53"/>
      <c r="E405" s="53"/>
      <c r="F405" s="53"/>
    </row>
    <row r="406" spans="1:6" x14ac:dyDescent="0.2">
      <c r="A406" s="27"/>
      <c r="B406" s="52"/>
      <c r="C406" s="27"/>
      <c r="D406" s="53"/>
      <c r="E406" s="53"/>
      <c r="F406" s="53"/>
    </row>
    <row r="407" spans="1:6" x14ac:dyDescent="0.2">
      <c r="A407" s="27"/>
      <c r="B407" s="52"/>
      <c r="C407" s="27"/>
      <c r="D407" s="53"/>
      <c r="E407" s="53"/>
      <c r="F407" s="53"/>
    </row>
    <row r="408" spans="1:6" x14ac:dyDescent="0.2">
      <c r="A408" s="27"/>
      <c r="B408" s="52"/>
      <c r="C408" s="27"/>
      <c r="D408" s="53"/>
      <c r="E408" s="53"/>
      <c r="F408" s="53"/>
    </row>
    <row r="409" spans="1:6" x14ac:dyDescent="0.2">
      <c r="A409" s="27"/>
      <c r="B409" s="52"/>
      <c r="C409" s="27"/>
      <c r="D409" s="53"/>
      <c r="E409" s="53"/>
      <c r="F409" s="53"/>
    </row>
    <row r="410" spans="1:6" x14ac:dyDescent="0.2">
      <c r="A410" s="27"/>
      <c r="B410" s="52"/>
      <c r="C410" s="27"/>
      <c r="D410" s="53"/>
      <c r="E410" s="53"/>
      <c r="F410" s="53"/>
    </row>
    <row r="411" spans="1:6" x14ac:dyDescent="0.2">
      <c r="A411" s="27"/>
      <c r="B411" s="52"/>
      <c r="C411" s="27"/>
      <c r="D411" s="53"/>
      <c r="E411" s="53"/>
      <c r="F411" s="53"/>
    </row>
    <row r="412" spans="1:6" x14ac:dyDescent="0.2">
      <c r="A412" s="27"/>
      <c r="B412" s="52"/>
      <c r="C412" s="27"/>
      <c r="D412" s="53"/>
      <c r="E412" s="53"/>
      <c r="F412" s="53"/>
    </row>
    <row r="413" spans="1:6" x14ac:dyDescent="0.2">
      <c r="A413" s="27"/>
      <c r="B413" s="52"/>
      <c r="C413" s="27"/>
      <c r="D413" s="53"/>
      <c r="E413" s="53"/>
      <c r="F413" s="53"/>
    </row>
    <row r="414" spans="1:6" x14ac:dyDescent="0.2">
      <c r="A414" s="27"/>
      <c r="B414" s="52"/>
      <c r="C414" s="27"/>
      <c r="D414" s="53"/>
      <c r="E414" s="53"/>
      <c r="F414" s="53"/>
    </row>
    <row r="415" spans="1:6" x14ac:dyDescent="0.2">
      <c r="A415" s="27"/>
      <c r="B415" s="52"/>
      <c r="C415" s="27"/>
      <c r="D415" s="53"/>
      <c r="E415" s="53"/>
      <c r="F415" s="53"/>
    </row>
    <row r="416" spans="1:6" x14ac:dyDescent="0.2">
      <c r="A416" s="27"/>
      <c r="B416" s="52"/>
      <c r="C416" s="27"/>
      <c r="D416" s="53"/>
      <c r="E416" s="53"/>
      <c r="F416" s="53"/>
    </row>
    <row r="417" spans="1:6" x14ac:dyDescent="0.2">
      <c r="A417" s="27"/>
      <c r="B417" s="52"/>
      <c r="C417" s="27"/>
      <c r="D417" s="53"/>
      <c r="E417" s="53"/>
      <c r="F417" s="53"/>
    </row>
    <row r="418" spans="1:6" x14ac:dyDescent="0.2">
      <c r="A418" s="27"/>
      <c r="B418" s="52"/>
      <c r="C418" s="27"/>
      <c r="D418" s="53"/>
      <c r="E418" s="53"/>
      <c r="F418" s="53"/>
    </row>
    <row r="419" spans="1:6" x14ac:dyDescent="0.2">
      <c r="A419" s="27"/>
      <c r="B419" s="52"/>
      <c r="C419" s="27"/>
      <c r="D419" s="53"/>
      <c r="E419" s="53"/>
      <c r="F419" s="53"/>
    </row>
    <row r="420" spans="1:6" x14ac:dyDescent="0.2">
      <c r="A420" s="27"/>
      <c r="B420" s="52"/>
      <c r="C420" s="27"/>
      <c r="D420" s="53"/>
      <c r="E420" s="53"/>
      <c r="F420" s="53"/>
    </row>
    <row r="421" spans="1:6" x14ac:dyDescent="0.2">
      <c r="A421" s="27"/>
      <c r="B421" s="52"/>
      <c r="C421" s="27"/>
      <c r="D421" s="53"/>
      <c r="E421" s="53"/>
      <c r="F421" s="53"/>
    </row>
    <row r="422" spans="1:6" x14ac:dyDescent="0.2">
      <c r="A422" s="27"/>
      <c r="B422" s="52"/>
      <c r="C422" s="27"/>
      <c r="D422" s="53"/>
      <c r="E422" s="53"/>
      <c r="F422" s="53"/>
    </row>
    <row r="423" spans="1:6" x14ac:dyDescent="0.2">
      <c r="A423" s="27"/>
      <c r="B423" s="52"/>
      <c r="C423" s="27"/>
      <c r="D423" s="53"/>
      <c r="E423" s="53"/>
      <c r="F423" s="53"/>
    </row>
    <row r="424" spans="1:6" x14ac:dyDescent="0.2">
      <c r="A424" s="27"/>
      <c r="B424" s="52"/>
      <c r="C424" s="27"/>
      <c r="D424" s="53"/>
      <c r="E424" s="53"/>
      <c r="F424" s="53"/>
    </row>
    <row r="425" spans="1:6" x14ac:dyDescent="0.2">
      <c r="A425" s="27"/>
      <c r="B425" s="52"/>
      <c r="C425" s="27"/>
      <c r="D425" s="53"/>
      <c r="E425" s="53"/>
      <c r="F425" s="53"/>
    </row>
    <row r="426" spans="1:6" x14ac:dyDescent="0.2">
      <c r="A426" s="27"/>
      <c r="B426" s="52"/>
      <c r="C426" s="27"/>
      <c r="D426" s="53"/>
      <c r="E426" s="53"/>
      <c r="F426" s="53"/>
    </row>
    <row r="427" spans="1:6" x14ac:dyDescent="0.2">
      <c r="A427" s="27"/>
      <c r="B427" s="52"/>
      <c r="C427" s="27"/>
      <c r="D427" s="53"/>
      <c r="E427" s="53"/>
      <c r="F427" s="53"/>
    </row>
    <row r="428" spans="1:6" x14ac:dyDescent="0.2">
      <c r="A428" s="27"/>
      <c r="B428" s="52"/>
      <c r="C428" s="27"/>
      <c r="D428" s="53"/>
      <c r="E428" s="53"/>
      <c r="F428" s="53"/>
    </row>
    <row r="429" spans="1:6" x14ac:dyDescent="0.2">
      <c r="A429" s="27"/>
      <c r="B429" s="52"/>
      <c r="C429" s="27"/>
      <c r="D429" s="53"/>
      <c r="E429" s="53"/>
      <c r="F429" s="53"/>
    </row>
    <row r="430" spans="1:6" x14ac:dyDescent="0.2">
      <c r="A430" s="27"/>
      <c r="B430" s="52"/>
      <c r="C430" s="27"/>
      <c r="D430" s="53"/>
      <c r="E430" s="53"/>
      <c r="F430" s="53"/>
    </row>
    <row r="431" spans="1:6" x14ac:dyDescent="0.2">
      <c r="A431" s="27"/>
      <c r="B431" s="52"/>
      <c r="C431" s="27"/>
      <c r="D431" s="53"/>
      <c r="E431" s="53"/>
      <c r="F431" s="53"/>
    </row>
    <row r="432" spans="1:6" x14ac:dyDescent="0.2">
      <c r="A432" s="27"/>
      <c r="B432" s="52"/>
      <c r="C432" s="27"/>
      <c r="D432" s="53"/>
      <c r="E432" s="53"/>
      <c r="F432" s="53"/>
    </row>
    <row r="433" spans="1:6" x14ac:dyDescent="0.2">
      <c r="A433" s="27"/>
      <c r="B433" s="52"/>
      <c r="C433" s="27"/>
      <c r="D433" s="53"/>
      <c r="E433" s="53"/>
      <c r="F433" s="53"/>
    </row>
    <row r="434" spans="1:6" x14ac:dyDescent="0.2">
      <c r="A434" s="27"/>
      <c r="B434" s="52"/>
      <c r="C434" s="27"/>
      <c r="D434" s="53"/>
      <c r="E434" s="53"/>
      <c r="F434" s="53"/>
    </row>
    <row r="435" spans="1:6" x14ac:dyDescent="0.2">
      <c r="A435" s="27"/>
      <c r="B435" s="52"/>
      <c r="C435" s="27"/>
      <c r="D435" s="53"/>
      <c r="E435" s="53"/>
      <c r="F435" s="53"/>
    </row>
    <row r="436" spans="1:6" x14ac:dyDescent="0.2">
      <c r="A436" s="27"/>
      <c r="B436" s="52"/>
      <c r="C436" s="27"/>
      <c r="D436" s="53"/>
      <c r="E436" s="53"/>
      <c r="F436" s="53"/>
    </row>
    <row r="437" spans="1:6" x14ac:dyDescent="0.2">
      <c r="A437" s="27"/>
      <c r="B437" s="52"/>
      <c r="C437" s="27"/>
      <c r="D437" s="53"/>
      <c r="E437" s="53"/>
      <c r="F437" s="53"/>
    </row>
    <row r="438" spans="1:6" x14ac:dyDescent="0.2">
      <c r="A438" s="27"/>
      <c r="B438" s="52"/>
      <c r="C438" s="27"/>
      <c r="D438" s="53"/>
      <c r="E438" s="53"/>
      <c r="F438" s="53"/>
    </row>
    <row r="439" spans="1:6" x14ac:dyDescent="0.2">
      <c r="A439" s="27"/>
      <c r="B439" s="52"/>
      <c r="C439" s="27"/>
      <c r="D439" s="53"/>
      <c r="E439" s="53"/>
      <c r="F439" s="53"/>
    </row>
    <row r="440" spans="1:6" x14ac:dyDescent="0.2">
      <c r="A440" s="27"/>
      <c r="B440" s="52"/>
      <c r="C440" s="27"/>
      <c r="D440" s="53"/>
      <c r="E440" s="53"/>
      <c r="F440" s="53"/>
    </row>
    <row r="441" spans="1:6" x14ac:dyDescent="0.2">
      <c r="A441" s="27"/>
      <c r="B441" s="52"/>
      <c r="C441" s="27"/>
      <c r="D441" s="53"/>
      <c r="E441" s="53"/>
      <c r="F441" s="53"/>
    </row>
    <row r="442" spans="1:6" x14ac:dyDescent="0.2">
      <c r="A442" s="27"/>
      <c r="B442" s="52"/>
      <c r="C442" s="27"/>
      <c r="D442" s="53"/>
      <c r="E442" s="53"/>
      <c r="F442" s="53"/>
    </row>
    <row r="443" spans="1:6" x14ac:dyDescent="0.2">
      <c r="A443" s="27"/>
      <c r="B443" s="52"/>
      <c r="C443" s="27"/>
      <c r="D443" s="53"/>
      <c r="E443" s="53"/>
      <c r="F443" s="53"/>
    </row>
    <row r="444" spans="1:6" x14ac:dyDescent="0.2">
      <c r="A444" s="27"/>
      <c r="B444" s="52"/>
      <c r="C444" s="27"/>
      <c r="D444" s="53"/>
      <c r="E444" s="53"/>
      <c r="F444" s="53"/>
    </row>
    <row r="445" spans="1:6" x14ac:dyDescent="0.2">
      <c r="A445" s="27"/>
      <c r="B445" s="52"/>
      <c r="C445" s="27"/>
      <c r="D445" s="53"/>
      <c r="E445" s="53"/>
      <c r="F445" s="53"/>
    </row>
    <row r="446" spans="1:6" x14ac:dyDescent="0.2">
      <c r="A446" s="27"/>
      <c r="B446" s="52"/>
      <c r="C446" s="27"/>
      <c r="D446" s="53"/>
      <c r="E446" s="53"/>
      <c r="F446" s="53"/>
    </row>
    <row r="447" spans="1:6" x14ac:dyDescent="0.2">
      <c r="A447" s="27"/>
      <c r="B447" s="52"/>
      <c r="C447" s="27"/>
      <c r="D447" s="53"/>
      <c r="E447" s="53"/>
      <c r="F447" s="53"/>
    </row>
    <row r="448" spans="1:6" x14ac:dyDescent="0.2">
      <c r="A448" s="27"/>
      <c r="B448" s="52"/>
      <c r="C448" s="27"/>
      <c r="D448" s="53"/>
      <c r="E448" s="53"/>
      <c r="F448" s="53"/>
    </row>
    <row r="449" spans="1:6" x14ac:dyDescent="0.2">
      <c r="A449" s="27"/>
      <c r="B449" s="52"/>
      <c r="C449" s="27"/>
      <c r="D449" s="53"/>
      <c r="E449" s="53"/>
      <c r="F449" s="53"/>
    </row>
    <row r="450" spans="1:6" x14ac:dyDescent="0.2">
      <c r="A450" s="27"/>
      <c r="B450" s="52"/>
      <c r="C450" s="27"/>
      <c r="D450" s="53"/>
      <c r="E450" s="53"/>
      <c r="F450" s="53"/>
    </row>
    <row r="451" spans="1:6" x14ac:dyDescent="0.2">
      <c r="A451" s="27"/>
      <c r="B451" s="52"/>
      <c r="C451" s="27"/>
      <c r="D451" s="53"/>
      <c r="E451" s="53"/>
      <c r="F451" s="53"/>
    </row>
    <row r="452" spans="1:6" x14ac:dyDescent="0.2">
      <c r="A452" s="27"/>
      <c r="B452" s="52"/>
      <c r="C452" s="27"/>
      <c r="D452" s="53"/>
      <c r="E452" s="53"/>
      <c r="F452" s="53"/>
    </row>
    <row r="453" spans="1:6" x14ac:dyDescent="0.2">
      <c r="A453" s="27"/>
      <c r="B453" s="52"/>
      <c r="C453" s="27"/>
      <c r="D453" s="53"/>
      <c r="E453" s="53"/>
      <c r="F453" s="53"/>
    </row>
    <row r="454" spans="1:6" x14ac:dyDescent="0.2">
      <c r="A454" s="27"/>
      <c r="B454" s="52"/>
      <c r="C454" s="27"/>
      <c r="D454" s="53"/>
      <c r="E454" s="53"/>
      <c r="F454" s="53"/>
    </row>
    <row r="455" spans="1:6" x14ac:dyDescent="0.2">
      <c r="A455" s="27"/>
      <c r="B455" s="52"/>
      <c r="C455" s="27"/>
      <c r="D455" s="53"/>
      <c r="E455" s="53"/>
      <c r="F455" s="53"/>
    </row>
    <row r="456" spans="1:6" x14ac:dyDescent="0.2">
      <c r="A456" s="27"/>
      <c r="B456" s="52"/>
      <c r="C456" s="27"/>
      <c r="D456" s="53"/>
      <c r="E456" s="53"/>
      <c r="F456" s="53"/>
    </row>
    <row r="457" spans="1:6" x14ac:dyDescent="0.2">
      <c r="A457" s="27"/>
      <c r="B457" s="52"/>
      <c r="C457" s="27"/>
      <c r="D457" s="53"/>
      <c r="E457" s="53"/>
      <c r="F457" s="53"/>
    </row>
    <row r="458" spans="1:6" x14ac:dyDescent="0.2">
      <c r="A458" s="27"/>
      <c r="B458" s="52"/>
      <c r="C458" s="27"/>
      <c r="D458" s="53"/>
      <c r="E458" s="53"/>
      <c r="F458" s="53"/>
    </row>
    <row r="459" spans="1:6" x14ac:dyDescent="0.2">
      <c r="A459" s="27"/>
      <c r="B459" s="52"/>
      <c r="C459" s="27"/>
      <c r="D459" s="53"/>
      <c r="E459" s="53"/>
      <c r="F459" s="53"/>
    </row>
    <row r="460" spans="1:6" x14ac:dyDescent="0.2">
      <c r="A460" s="27"/>
      <c r="B460" s="52"/>
      <c r="C460" s="27"/>
      <c r="D460" s="53"/>
      <c r="E460" s="53"/>
      <c r="F460" s="53"/>
    </row>
    <row r="461" spans="1:6" x14ac:dyDescent="0.2">
      <c r="A461" s="27"/>
      <c r="B461" s="52"/>
      <c r="C461" s="27"/>
      <c r="D461" s="53"/>
      <c r="E461" s="53"/>
      <c r="F461" s="53"/>
    </row>
    <row r="462" spans="1:6" x14ac:dyDescent="0.2">
      <c r="A462" s="27"/>
      <c r="B462" s="52"/>
      <c r="C462" s="27"/>
      <c r="D462" s="53"/>
      <c r="E462" s="53"/>
      <c r="F462" s="53"/>
    </row>
    <row r="463" spans="1:6" x14ac:dyDescent="0.2">
      <c r="A463" s="27"/>
      <c r="B463" s="52"/>
      <c r="C463" s="27"/>
      <c r="D463" s="53"/>
      <c r="E463" s="53"/>
      <c r="F463" s="53"/>
    </row>
    <row r="464" spans="1:6" x14ac:dyDescent="0.2">
      <c r="A464" s="27"/>
      <c r="B464" s="52"/>
      <c r="C464" s="27"/>
      <c r="D464" s="53"/>
      <c r="E464" s="53"/>
      <c r="F464" s="53"/>
    </row>
    <row r="465" spans="1:6" x14ac:dyDescent="0.2">
      <c r="A465" s="27"/>
      <c r="B465" s="52"/>
      <c r="C465" s="27"/>
      <c r="D465" s="53"/>
      <c r="E465" s="53"/>
      <c r="F465" s="53"/>
    </row>
    <row r="466" spans="1:6" x14ac:dyDescent="0.2">
      <c r="A466" s="27"/>
      <c r="B466" s="52"/>
      <c r="C466" s="27"/>
      <c r="D466" s="53"/>
      <c r="E466" s="53"/>
      <c r="F466" s="53"/>
    </row>
    <row r="467" spans="1:6" x14ac:dyDescent="0.2">
      <c r="A467" s="27"/>
      <c r="B467" s="52"/>
      <c r="C467" s="27"/>
      <c r="D467" s="53"/>
      <c r="E467" s="53"/>
      <c r="F467" s="53"/>
    </row>
    <row r="468" spans="1:6" x14ac:dyDescent="0.2">
      <c r="A468" s="27"/>
      <c r="B468" s="52"/>
      <c r="C468" s="27"/>
      <c r="D468" s="53"/>
      <c r="E468" s="53"/>
      <c r="F468" s="53"/>
    </row>
    <row r="469" spans="1:6" x14ac:dyDescent="0.2">
      <c r="A469" s="27"/>
      <c r="B469" s="52"/>
      <c r="C469" s="27"/>
      <c r="D469" s="53"/>
      <c r="E469" s="53"/>
      <c r="F469" s="53"/>
    </row>
    <row r="470" spans="1:6" x14ac:dyDescent="0.2">
      <c r="A470" s="27"/>
      <c r="B470" s="52"/>
      <c r="C470" s="27"/>
      <c r="D470" s="53"/>
      <c r="E470" s="53"/>
      <c r="F470" s="53"/>
    </row>
    <row r="471" spans="1:6" x14ac:dyDescent="0.2">
      <c r="A471" s="27"/>
      <c r="B471" s="52"/>
      <c r="C471" s="27"/>
      <c r="D471" s="53"/>
      <c r="E471" s="53"/>
      <c r="F471" s="53"/>
    </row>
    <row r="472" spans="1:6" x14ac:dyDescent="0.2">
      <c r="A472" s="27"/>
      <c r="B472" s="52"/>
      <c r="C472" s="27"/>
      <c r="D472" s="53"/>
      <c r="E472" s="53"/>
      <c r="F472" s="53"/>
    </row>
    <row r="473" spans="1:6" x14ac:dyDescent="0.2">
      <c r="A473" s="27"/>
      <c r="B473" s="52"/>
      <c r="C473" s="27"/>
      <c r="D473" s="53"/>
      <c r="E473" s="53"/>
      <c r="F473" s="53"/>
    </row>
    <row r="474" spans="1:6" x14ac:dyDescent="0.2">
      <c r="A474" s="27"/>
      <c r="B474" s="52"/>
      <c r="C474" s="27"/>
      <c r="D474" s="53"/>
      <c r="E474" s="53"/>
      <c r="F474" s="53"/>
    </row>
    <row r="475" spans="1:6" x14ac:dyDescent="0.2">
      <c r="A475" s="27"/>
      <c r="B475" s="52"/>
      <c r="C475" s="27"/>
      <c r="D475" s="53"/>
      <c r="E475" s="53"/>
      <c r="F475" s="53"/>
    </row>
    <row r="476" spans="1:6" x14ac:dyDescent="0.2">
      <c r="A476" s="27"/>
      <c r="B476" s="52"/>
      <c r="C476" s="27"/>
      <c r="D476" s="53"/>
      <c r="E476" s="53"/>
      <c r="F476" s="53"/>
    </row>
    <row r="477" spans="1:6" x14ac:dyDescent="0.2">
      <c r="A477" s="27"/>
      <c r="B477" s="52"/>
      <c r="C477" s="27"/>
      <c r="D477" s="53"/>
      <c r="E477" s="53"/>
      <c r="F477" s="53"/>
    </row>
    <row r="478" spans="1:6" x14ac:dyDescent="0.2">
      <c r="A478" s="27"/>
      <c r="B478" s="52"/>
      <c r="C478" s="27"/>
      <c r="D478" s="53"/>
      <c r="E478" s="53"/>
      <c r="F478" s="53"/>
    </row>
    <row r="479" spans="1:6" x14ac:dyDescent="0.2">
      <c r="A479" s="27"/>
      <c r="B479" s="52"/>
      <c r="C479" s="27"/>
      <c r="D479" s="53"/>
      <c r="E479" s="53"/>
      <c r="F479" s="53"/>
    </row>
    <row r="480" spans="1:6" x14ac:dyDescent="0.2">
      <c r="A480" s="27"/>
      <c r="B480" s="52"/>
      <c r="C480" s="27"/>
      <c r="D480" s="53"/>
      <c r="E480" s="53"/>
      <c r="F480" s="53"/>
    </row>
    <row r="481" spans="1:6" x14ac:dyDescent="0.2">
      <c r="A481" s="27"/>
      <c r="B481" s="52"/>
      <c r="C481" s="27"/>
      <c r="D481" s="53"/>
      <c r="E481" s="53"/>
      <c r="F481" s="53"/>
    </row>
    <row r="482" spans="1:6" x14ac:dyDescent="0.2">
      <c r="A482" s="27"/>
      <c r="B482" s="52"/>
      <c r="C482" s="27"/>
      <c r="D482" s="53"/>
      <c r="E482" s="53"/>
      <c r="F482" s="53"/>
    </row>
    <row r="483" spans="1:6" x14ac:dyDescent="0.2">
      <c r="A483" s="27"/>
      <c r="B483" s="52"/>
      <c r="C483" s="27"/>
      <c r="D483" s="53"/>
      <c r="E483" s="53"/>
      <c r="F483" s="53"/>
    </row>
    <row r="484" spans="1:6" x14ac:dyDescent="0.2">
      <c r="A484" s="27"/>
      <c r="B484" s="52"/>
      <c r="C484" s="27"/>
      <c r="D484" s="53"/>
      <c r="E484" s="53"/>
      <c r="F484" s="53"/>
    </row>
    <row r="485" spans="1:6" x14ac:dyDescent="0.2">
      <c r="A485" s="27"/>
      <c r="B485" s="52"/>
      <c r="C485" s="27"/>
      <c r="D485" s="53"/>
      <c r="E485" s="53"/>
      <c r="F485" s="53"/>
    </row>
    <row r="486" spans="1:6" x14ac:dyDescent="0.2">
      <c r="A486" s="27"/>
      <c r="B486" s="52"/>
      <c r="C486" s="27"/>
      <c r="D486" s="53"/>
      <c r="E486" s="53"/>
      <c r="F486" s="53"/>
    </row>
    <row r="487" spans="1:6" x14ac:dyDescent="0.2">
      <c r="A487" s="27"/>
      <c r="B487" s="52"/>
      <c r="C487" s="27"/>
      <c r="D487" s="53"/>
      <c r="E487" s="53"/>
      <c r="F487" s="53"/>
    </row>
    <row r="488" spans="1:6" x14ac:dyDescent="0.2">
      <c r="A488" s="27"/>
      <c r="B488" s="52"/>
      <c r="C488" s="27"/>
      <c r="D488" s="53"/>
      <c r="E488" s="53"/>
      <c r="F488" s="53"/>
    </row>
    <row r="489" spans="1:6" x14ac:dyDescent="0.2">
      <c r="A489" s="27"/>
      <c r="B489" s="52"/>
      <c r="C489" s="27"/>
      <c r="D489" s="53"/>
      <c r="E489" s="53"/>
      <c r="F489" s="53"/>
    </row>
    <row r="490" spans="1:6" x14ac:dyDescent="0.2">
      <c r="A490" s="27"/>
      <c r="B490" s="52"/>
      <c r="C490" s="27"/>
      <c r="D490" s="53"/>
      <c r="E490" s="53"/>
      <c r="F490" s="53"/>
    </row>
    <row r="491" spans="1:6" x14ac:dyDescent="0.2">
      <c r="A491" s="27"/>
      <c r="B491" s="52"/>
      <c r="C491" s="27"/>
      <c r="D491" s="53"/>
      <c r="E491" s="53"/>
      <c r="F491" s="53"/>
    </row>
    <row r="492" spans="1:6" x14ac:dyDescent="0.2">
      <c r="A492" s="27"/>
      <c r="B492" s="52"/>
      <c r="C492" s="27"/>
      <c r="D492" s="53"/>
      <c r="E492" s="53"/>
      <c r="F492" s="53"/>
    </row>
    <row r="493" spans="1:6" x14ac:dyDescent="0.2">
      <c r="A493" s="27"/>
      <c r="B493" s="52"/>
      <c r="C493" s="27"/>
      <c r="D493" s="53"/>
      <c r="E493" s="53"/>
      <c r="F493" s="53"/>
    </row>
    <row r="494" spans="1:6" x14ac:dyDescent="0.2">
      <c r="A494" s="27"/>
      <c r="B494" s="52"/>
      <c r="C494" s="27"/>
      <c r="D494" s="53"/>
      <c r="E494" s="53"/>
      <c r="F494" s="53"/>
    </row>
    <row r="495" spans="1:6" x14ac:dyDescent="0.2">
      <c r="A495" s="27"/>
      <c r="B495" s="52"/>
      <c r="C495" s="27"/>
      <c r="D495" s="53"/>
      <c r="E495" s="53"/>
      <c r="F495" s="53"/>
    </row>
    <row r="496" spans="1:6" x14ac:dyDescent="0.2">
      <c r="A496" s="27"/>
      <c r="B496" s="52"/>
      <c r="C496" s="27"/>
      <c r="D496" s="53"/>
      <c r="E496" s="53"/>
      <c r="F496" s="53"/>
    </row>
    <row r="497" spans="1:6" x14ac:dyDescent="0.2">
      <c r="A497" s="27"/>
      <c r="B497" s="52"/>
      <c r="C497" s="27"/>
      <c r="D497" s="53"/>
      <c r="E497" s="53"/>
      <c r="F497" s="53"/>
    </row>
    <row r="498" spans="1:6" x14ac:dyDescent="0.2">
      <c r="A498" s="27"/>
      <c r="B498" s="52"/>
      <c r="C498" s="27"/>
      <c r="D498" s="53"/>
      <c r="E498" s="53"/>
      <c r="F498" s="53"/>
    </row>
    <row r="499" spans="1:6" x14ac:dyDescent="0.2">
      <c r="A499" s="27"/>
      <c r="B499" s="52"/>
      <c r="C499" s="27"/>
      <c r="D499" s="53"/>
      <c r="E499" s="53"/>
      <c r="F499" s="53"/>
    </row>
    <row r="500" spans="1:6" x14ac:dyDescent="0.2">
      <c r="A500" s="27"/>
      <c r="B500" s="52"/>
      <c r="C500" s="27"/>
      <c r="D500" s="53"/>
      <c r="E500" s="53"/>
      <c r="F500" s="53"/>
    </row>
    <row r="501" spans="1:6" x14ac:dyDescent="0.2">
      <c r="A501" s="27"/>
      <c r="B501" s="52"/>
      <c r="C501" s="27"/>
      <c r="D501" s="53"/>
      <c r="E501" s="53"/>
      <c r="F501" s="53"/>
    </row>
    <row r="502" spans="1:6" x14ac:dyDescent="0.2">
      <c r="A502" s="27"/>
      <c r="B502" s="52"/>
      <c r="C502" s="27"/>
      <c r="D502" s="53"/>
      <c r="E502" s="53"/>
      <c r="F502" s="53"/>
    </row>
    <row r="503" spans="1:6" x14ac:dyDescent="0.2">
      <c r="A503" s="27"/>
      <c r="B503" s="52"/>
      <c r="C503" s="27"/>
      <c r="D503" s="53"/>
      <c r="E503" s="53"/>
      <c r="F503" s="53"/>
    </row>
    <row r="504" spans="1:6" x14ac:dyDescent="0.2">
      <c r="A504" s="27"/>
      <c r="B504" s="52"/>
      <c r="C504" s="27"/>
      <c r="D504" s="53"/>
      <c r="E504" s="53"/>
      <c r="F504" s="53"/>
    </row>
    <row r="505" spans="1:6" x14ac:dyDescent="0.2">
      <c r="A505" s="27"/>
      <c r="B505" s="52"/>
      <c r="C505" s="27"/>
      <c r="D505" s="53"/>
      <c r="E505" s="53"/>
      <c r="F505" s="53"/>
    </row>
    <row r="506" spans="1:6" x14ac:dyDescent="0.2">
      <c r="A506" s="27"/>
      <c r="B506" s="52"/>
      <c r="C506" s="27"/>
      <c r="D506" s="53"/>
      <c r="E506" s="53"/>
      <c r="F506" s="53"/>
    </row>
    <row r="507" spans="1:6" x14ac:dyDescent="0.2">
      <c r="A507" s="27"/>
      <c r="B507" s="52"/>
      <c r="C507" s="27"/>
      <c r="D507" s="53"/>
      <c r="E507" s="53"/>
      <c r="F507" s="53"/>
    </row>
    <row r="508" spans="1:6" x14ac:dyDescent="0.2">
      <c r="A508" s="27"/>
      <c r="B508" s="52"/>
      <c r="C508" s="27"/>
      <c r="D508" s="53"/>
      <c r="E508" s="53"/>
      <c r="F508" s="53"/>
    </row>
    <row r="509" spans="1:6" x14ac:dyDescent="0.2">
      <c r="A509" s="27"/>
      <c r="B509" s="52"/>
      <c r="C509" s="27"/>
      <c r="D509" s="53"/>
      <c r="E509" s="53"/>
      <c r="F509" s="53"/>
    </row>
    <row r="510" spans="1:6" x14ac:dyDescent="0.2">
      <c r="A510" s="27"/>
      <c r="B510" s="52"/>
      <c r="C510" s="27"/>
      <c r="D510" s="53"/>
      <c r="E510" s="53"/>
      <c r="F510" s="53"/>
    </row>
    <row r="511" spans="1:6" x14ac:dyDescent="0.2">
      <c r="A511" s="27"/>
      <c r="B511" s="52"/>
      <c r="C511" s="27"/>
      <c r="D511" s="53"/>
      <c r="E511" s="53"/>
      <c r="F511" s="53"/>
    </row>
    <row r="512" spans="1:6" x14ac:dyDescent="0.2">
      <c r="A512" s="27"/>
      <c r="B512" s="52"/>
      <c r="C512" s="27"/>
      <c r="D512" s="53"/>
      <c r="E512" s="53"/>
      <c r="F512" s="53"/>
    </row>
    <row r="513" spans="1:6" x14ac:dyDescent="0.2">
      <c r="A513" s="27"/>
      <c r="B513" s="52"/>
      <c r="C513" s="27"/>
      <c r="D513" s="53"/>
      <c r="E513" s="53"/>
      <c r="F513" s="53"/>
    </row>
    <row r="514" spans="1:6" x14ac:dyDescent="0.2">
      <c r="A514" s="27"/>
      <c r="B514" s="52"/>
      <c r="C514" s="27"/>
      <c r="D514" s="53"/>
      <c r="E514" s="53"/>
      <c r="F514" s="53"/>
    </row>
    <row r="515" spans="1:6" x14ac:dyDescent="0.2">
      <c r="A515" s="27"/>
      <c r="B515" s="52"/>
      <c r="C515" s="27"/>
      <c r="D515" s="53"/>
      <c r="E515" s="53"/>
      <c r="F515" s="53"/>
    </row>
    <row r="516" spans="1:6" x14ac:dyDescent="0.2">
      <c r="A516" s="27"/>
      <c r="B516" s="52"/>
      <c r="C516" s="27"/>
      <c r="D516" s="53"/>
      <c r="E516" s="53"/>
      <c r="F516" s="53"/>
    </row>
    <row r="517" spans="1:6" x14ac:dyDescent="0.2">
      <c r="A517" s="27"/>
      <c r="B517" s="52"/>
      <c r="C517" s="27"/>
      <c r="D517" s="53"/>
      <c r="E517" s="53"/>
      <c r="F517" s="53"/>
    </row>
    <row r="518" spans="1:6" x14ac:dyDescent="0.2">
      <c r="A518" s="27"/>
      <c r="B518" s="52"/>
      <c r="C518" s="27"/>
      <c r="D518" s="53"/>
      <c r="E518" s="53"/>
      <c r="F518" s="53"/>
    </row>
    <row r="519" spans="1:6" x14ac:dyDescent="0.2">
      <c r="A519" s="27"/>
      <c r="B519" s="52"/>
      <c r="C519" s="27"/>
      <c r="D519" s="53"/>
      <c r="E519" s="53"/>
      <c r="F519" s="53"/>
    </row>
    <row r="520" spans="1:6" x14ac:dyDescent="0.2">
      <c r="A520" s="27"/>
      <c r="B520" s="52"/>
      <c r="C520" s="27"/>
      <c r="D520" s="53"/>
      <c r="E520" s="53"/>
      <c r="F520" s="53"/>
    </row>
    <row r="521" spans="1:6" x14ac:dyDescent="0.2">
      <c r="A521" s="27"/>
      <c r="B521" s="52"/>
      <c r="C521" s="27"/>
      <c r="D521" s="53"/>
      <c r="E521" s="53"/>
      <c r="F521" s="53"/>
    </row>
    <row r="522" spans="1:6" x14ac:dyDescent="0.2">
      <c r="A522" s="27"/>
      <c r="B522" s="52"/>
      <c r="C522" s="27"/>
      <c r="D522" s="53"/>
      <c r="E522" s="53"/>
      <c r="F522" s="53"/>
    </row>
    <row r="523" spans="1:6" x14ac:dyDescent="0.2">
      <c r="A523" s="27"/>
      <c r="B523" s="52"/>
      <c r="C523" s="27"/>
      <c r="D523" s="53"/>
      <c r="E523" s="53"/>
      <c r="F523" s="53"/>
    </row>
    <row r="524" spans="1:6" x14ac:dyDescent="0.2">
      <c r="A524" s="27"/>
      <c r="B524" s="52"/>
      <c r="C524" s="27"/>
      <c r="D524" s="53"/>
      <c r="E524" s="53"/>
      <c r="F524" s="53"/>
    </row>
    <row r="525" spans="1:6" x14ac:dyDescent="0.2">
      <c r="A525" s="27"/>
      <c r="B525" s="52"/>
      <c r="C525" s="27"/>
      <c r="D525" s="53"/>
      <c r="E525" s="53"/>
      <c r="F525" s="53"/>
    </row>
    <row r="526" spans="1:6" x14ac:dyDescent="0.2">
      <c r="A526" s="27"/>
      <c r="B526" s="52"/>
      <c r="C526" s="27"/>
      <c r="D526" s="53"/>
      <c r="E526" s="53"/>
      <c r="F526" s="53"/>
    </row>
    <row r="527" spans="1:6" x14ac:dyDescent="0.2">
      <c r="A527" s="27"/>
      <c r="B527" s="52"/>
      <c r="C527" s="27"/>
      <c r="D527" s="53"/>
      <c r="E527" s="53"/>
      <c r="F527" s="53"/>
    </row>
    <row r="528" spans="1:6" x14ac:dyDescent="0.2">
      <c r="A528" s="27"/>
      <c r="B528" s="52"/>
      <c r="C528" s="27"/>
      <c r="D528" s="53"/>
      <c r="E528" s="53"/>
      <c r="F528" s="53"/>
    </row>
    <row r="529" spans="1:6" x14ac:dyDescent="0.2">
      <c r="A529" s="27"/>
      <c r="B529" s="52"/>
      <c r="C529" s="27"/>
      <c r="D529" s="53"/>
      <c r="E529" s="53"/>
      <c r="F529" s="53"/>
    </row>
    <row r="530" spans="1:6" x14ac:dyDescent="0.2">
      <c r="A530" s="27"/>
      <c r="B530" s="52"/>
      <c r="C530" s="27"/>
      <c r="D530" s="53"/>
      <c r="E530" s="53"/>
      <c r="F530" s="53"/>
    </row>
    <row r="531" spans="1:6" x14ac:dyDescent="0.2">
      <c r="A531" s="27"/>
      <c r="B531" s="52"/>
      <c r="C531" s="27"/>
      <c r="D531" s="53"/>
      <c r="E531" s="53"/>
      <c r="F531" s="53"/>
    </row>
    <row r="532" spans="1:6" x14ac:dyDescent="0.2">
      <c r="A532" s="27"/>
      <c r="B532" s="52"/>
      <c r="C532" s="27"/>
      <c r="D532" s="53"/>
      <c r="E532" s="53"/>
      <c r="F532" s="53"/>
    </row>
    <row r="533" spans="1:6" x14ac:dyDescent="0.2">
      <c r="A533" s="27"/>
      <c r="B533" s="52"/>
      <c r="C533" s="27"/>
      <c r="D533" s="53"/>
      <c r="E533" s="53"/>
      <c r="F533" s="53"/>
    </row>
    <row r="534" spans="1:6" x14ac:dyDescent="0.2">
      <c r="A534" s="27"/>
      <c r="B534" s="52"/>
      <c r="C534" s="27"/>
      <c r="D534" s="53"/>
      <c r="E534" s="53"/>
      <c r="F534" s="53"/>
    </row>
    <row r="535" spans="1:6" x14ac:dyDescent="0.2">
      <c r="A535" s="27"/>
      <c r="B535" s="52"/>
      <c r="C535" s="27"/>
      <c r="D535" s="53"/>
      <c r="E535" s="53"/>
      <c r="F535" s="53"/>
    </row>
    <row r="536" spans="1:6" x14ac:dyDescent="0.2">
      <c r="A536" s="27"/>
      <c r="B536" s="52"/>
      <c r="C536" s="27"/>
      <c r="D536" s="53"/>
      <c r="E536" s="53"/>
      <c r="F536" s="53"/>
    </row>
    <row r="537" spans="1:6" x14ac:dyDescent="0.2">
      <c r="A537" s="27"/>
      <c r="B537" s="52"/>
      <c r="C537" s="27"/>
      <c r="D537" s="53"/>
      <c r="E537" s="53"/>
      <c r="F537" s="53"/>
    </row>
    <row r="538" spans="1:6" x14ac:dyDescent="0.2">
      <c r="A538" s="27"/>
      <c r="B538" s="52"/>
      <c r="C538" s="27"/>
      <c r="D538" s="53"/>
      <c r="E538" s="53"/>
      <c r="F538" s="53"/>
    </row>
    <row r="539" spans="1:6" x14ac:dyDescent="0.2">
      <c r="A539" s="27"/>
      <c r="B539" s="52"/>
      <c r="C539" s="27"/>
      <c r="D539" s="53"/>
      <c r="E539" s="53"/>
      <c r="F539" s="53"/>
    </row>
    <row r="540" spans="1:6" x14ac:dyDescent="0.2">
      <c r="A540" s="27"/>
      <c r="B540" s="52"/>
      <c r="C540" s="27"/>
      <c r="D540" s="53"/>
      <c r="E540" s="53"/>
      <c r="F540" s="53"/>
    </row>
    <row r="541" spans="1:6" x14ac:dyDescent="0.2">
      <c r="A541" s="27"/>
      <c r="B541" s="52"/>
      <c r="C541" s="27"/>
      <c r="D541" s="53"/>
      <c r="E541" s="53"/>
      <c r="F541" s="53"/>
    </row>
    <row r="542" spans="1:6" x14ac:dyDescent="0.2">
      <c r="A542" s="27"/>
      <c r="B542" s="52"/>
      <c r="C542" s="27"/>
      <c r="D542" s="53"/>
      <c r="E542" s="53"/>
      <c r="F542" s="53"/>
    </row>
    <row r="543" spans="1:6" x14ac:dyDescent="0.2">
      <c r="A543" s="27"/>
      <c r="B543" s="52"/>
      <c r="C543" s="27"/>
      <c r="D543" s="53"/>
      <c r="E543" s="53"/>
      <c r="F543" s="53"/>
    </row>
    <row r="544" spans="1:6" x14ac:dyDescent="0.2">
      <c r="A544" s="27"/>
      <c r="B544" s="52"/>
      <c r="C544" s="27"/>
      <c r="D544" s="53"/>
      <c r="E544" s="53"/>
      <c r="F544" s="53"/>
    </row>
    <row r="545" spans="1:6" x14ac:dyDescent="0.2">
      <c r="A545" s="27"/>
      <c r="B545" s="52"/>
      <c r="C545" s="27"/>
      <c r="D545" s="53"/>
      <c r="E545" s="53"/>
      <c r="F545" s="53"/>
    </row>
    <row r="546" spans="1:6" x14ac:dyDescent="0.2">
      <c r="A546" s="27"/>
      <c r="B546" s="52"/>
      <c r="C546" s="27"/>
      <c r="D546" s="53"/>
      <c r="E546" s="53"/>
      <c r="F546" s="53"/>
    </row>
    <row r="547" spans="1:6" x14ac:dyDescent="0.2">
      <c r="A547" s="27"/>
      <c r="B547" s="52"/>
      <c r="C547" s="27"/>
      <c r="D547" s="53"/>
      <c r="E547" s="53"/>
      <c r="F547" s="53"/>
    </row>
    <row r="548" spans="1:6" x14ac:dyDescent="0.2">
      <c r="A548" s="27"/>
      <c r="B548" s="52"/>
      <c r="C548" s="27"/>
      <c r="D548" s="53"/>
      <c r="E548" s="53"/>
      <c r="F548" s="53"/>
    </row>
    <row r="549" spans="1:6" x14ac:dyDescent="0.2">
      <c r="A549" s="27"/>
      <c r="B549" s="52"/>
      <c r="C549" s="27"/>
      <c r="D549" s="53"/>
      <c r="E549" s="53"/>
      <c r="F549" s="53"/>
    </row>
    <row r="550" spans="1:6" x14ac:dyDescent="0.2">
      <c r="A550" s="27"/>
      <c r="B550" s="52"/>
      <c r="C550" s="27"/>
      <c r="D550" s="53"/>
      <c r="E550" s="53"/>
      <c r="F550" s="53"/>
    </row>
    <row r="551" spans="1:6" x14ac:dyDescent="0.2">
      <c r="A551" s="27"/>
      <c r="B551" s="52"/>
      <c r="C551" s="27"/>
      <c r="D551" s="53"/>
      <c r="E551" s="53"/>
      <c r="F551" s="53"/>
    </row>
    <row r="552" spans="1:6" x14ac:dyDescent="0.2">
      <c r="A552" s="27"/>
      <c r="B552" s="52"/>
      <c r="C552" s="27"/>
      <c r="D552" s="53"/>
      <c r="E552" s="53"/>
      <c r="F552" s="53"/>
    </row>
    <row r="553" spans="1:6" x14ac:dyDescent="0.2">
      <c r="A553" s="27"/>
      <c r="B553" s="52"/>
      <c r="C553" s="27"/>
      <c r="D553" s="53"/>
      <c r="E553" s="53"/>
      <c r="F553" s="53"/>
    </row>
    <row r="554" spans="1:6" x14ac:dyDescent="0.2">
      <c r="A554" s="27"/>
      <c r="B554" s="52"/>
      <c r="C554" s="27"/>
      <c r="D554" s="53"/>
      <c r="E554" s="53"/>
      <c r="F554" s="53"/>
    </row>
    <row r="555" spans="1:6" x14ac:dyDescent="0.2">
      <c r="A555" s="27"/>
      <c r="B555" s="52"/>
      <c r="C555" s="27"/>
      <c r="D555" s="53"/>
      <c r="E555" s="53"/>
      <c r="F555" s="53"/>
    </row>
    <row r="556" spans="1:6" x14ac:dyDescent="0.2">
      <c r="A556" s="27"/>
      <c r="B556" s="52"/>
      <c r="C556" s="27"/>
      <c r="D556" s="53"/>
      <c r="E556" s="53"/>
      <c r="F556" s="53"/>
    </row>
    <row r="557" spans="1:6" x14ac:dyDescent="0.2">
      <c r="A557" s="27"/>
      <c r="B557" s="52"/>
      <c r="C557" s="27"/>
      <c r="D557" s="53"/>
      <c r="E557" s="53"/>
      <c r="F557" s="53"/>
    </row>
    <row r="558" spans="1:6" x14ac:dyDescent="0.2">
      <c r="A558" s="27"/>
      <c r="B558" s="52"/>
      <c r="C558" s="27"/>
      <c r="D558" s="53"/>
      <c r="E558" s="53"/>
      <c r="F558" s="53"/>
    </row>
    <row r="559" spans="1:6" x14ac:dyDescent="0.2">
      <c r="A559" s="27"/>
      <c r="B559" s="52"/>
      <c r="C559" s="27"/>
      <c r="D559" s="53"/>
      <c r="E559" s="53"/>
      <c r="F559" s="53"/>
    </row>
    <row r="560" spans="1:6" x14ac:dyDescent="0.2">
      <c r="A560" s="27"/>
      <c r="B560" s="52"/>
      <c r="C560" s="27"/>
      <c r="D560" s="53"/>
      <c r="E560" s="53"/>
      <c r="F560" s="53"/>
    </row>
    <row r="561" spans="1:6" x14ac:dyDescent="0.2">
      <c r="A561" s="27"/>
      <c r="B561" s="52"/>
      <c r="C561" s="27"/>
      <c r="D561" s="53"/>
      <c r="E561" s="53"/>
      <c r="F561" s="53"/>
    </row>
    <row r="562" spans="1:6" x14ac:dyDescent="0.2">
      <c r="A562" s="27"/>
      <c r="B562" s="52"/>
      <c r="C562" s="27"/>
      <c r="D562" s="53"/>
      <c r="E562" s="53"/>
      <c r="F562" s="53"/>
    </row>
    <row r="563" spans="1:6" x14ac:dyDescent="0.2">
      <c r="A563" s="27"/>
      <c r="B563" s="52"/>
      <c r="C563" s="27"/>
      <c r="D563" s="53"/>
      <c r="E563" s="53"/>
      <c r="F563" s="53"/>
    </row>
    <row r="564" spans="1:6" x14ac:dyDescent="0.2">
      <c r="A564" s="27"/>
      <c r="B564" s="52"/>
      <c r="C564" s="27"/>
      <c r="D564" s="53"/>
      <c r="E564" s="53"/>
      <c r="F564" s="53"/>
    </row>
    <row r="565" spans="1:6" x14ac:dyDescent="0.2">
      <c r="A565" s="27"/>
      <c r="B565" s="52"/>
      <c r="C565" s="27"/>
      <c r="D565" s="53"/>
      <c r="E565" s="53"/>
      <c r="F565" s="53"/>
    </row>
    <row r="566" spans="1:6" x14ac:dyDescent="0.2">
      <c r="A566" s="27"/>
      <c r="B566" s="52"/>
      <c r="C566" s="27"/>
      <c r="D566" s="53"/>
      <c r="E566" s="53"/>
      <c r="F566" s="53"/>
    </row>
    <row r="567" spans="1:6" x14ac:dyDescent="0.2">
      <c r="A567" s="27"/>
      <c r="B567" s="52"/>
      <c r="C567" s="27"/>
      <c r="D567" s="53"/>
      <c r="E567" s="53"/>
      <c r="F567" s="53"/>
    </row>
    <row r="568" spans="1:6" x14ac:dyDescent="0.2">
      <c r="A568" s="27"/>
      <c r="B568" s="52"/>
      <c r="C568" s="27"/>
      <c r="D568" s="53"/>
      <c r="E568" s="53"/>
      <c r="F568" s="53"/>
    </row>
    <row r="569" spans="1:6" x14ac:dyDescent="0.2">
      <c r="A569" s="27"/>
      <c r="B569" s="52"/>
      <c r="C569" s="27"/>
      <c r="D569" s="53"/>
      <c r="E569" s="53"/>
      <c r="F569" s="53"/>
    </row>
    <row r="570" spans="1:6" x14ac:dyDescent="0.2">
      <c r="A570" s="27"/>
      <c r="B570" s="52"/>
      <c r="C570" s="27"/>
      <c r="D570" s="53"/>
      <c r="E570" s="53"/>
      <c r="F570" s="53"/>
    </row>
    <row r="571" spans="1:6" x14ac:dyDescent="0.2">
      <c r="A571" s="27"/>
      <c r="B571" s="52"/>
      <c r="C571" s="27"/>
      <c r="D571" s="53"/>
      <c r="E571" s="53"/>
      <c r="F571" s="53"/>
    </row>
    <row r="572" spans="1:6" x14ac:dyDescent="0.2">
      <c r="A572" s="27"/>
      <c r="B572" s="52"/>
      <c r="C572" s="27"/>
      <c r="D572" s="53"/>
      <c r="E572" s="53"/>
      <c r="F572" s="53"/>
    </row>
    <row r="573" spans="1:6" x14ac:dyDescent="0.2">
      <c r="A573" s="27"/>
      <c r="B573" s="52"/>
      <c r="C573" s="27"/>
      <c r="D573" s="53"/>
      <c r="E573" s="53"/>
      <c r="F573" s="53"/>
    </row>
    <row r="574" spans="1:6" x14ac:dyDescent="0.2">
      <c r="A574" s="27"/>
      <c r="B574" s="52"/>
      <c r="C574" s="27"/>
      <c r="D574" s="53"/>
      <c r="E574" s="53"/>
      <c r="F574" s="53"/>
    </row>
    <row r="575" spans="1:6" x14ac:dyDescent="0.2">
      <c r="A575" s="27"/>
      <c r="B575" s="52"/>
      <c r="C575" s="27"/>
      <c r="D575" s="53"/>
      <c r="E575" s="53"/>
      <c r="F575" s="53"/>
    </row>
    <row r="576" spans="1:6" x14ac:dyDescent="0.2">
      <c r="A576" s="27"/>
      <c r="B576" s="52"/>
      <c r="C576" s="27"/>
      <c r="D576" s="53"/>
      <c r="E576" s="53"/>
      <c r="F576" s="53"/>
    </row>
    <row r="577" spans="1:6" x14ac:dyDescent="0.2">
      <c r="A577" s="27"/>
      <c r="B577" s="52"/>
      <c r="C577" s="27"/>
      <c r="D577" s="53"/>
      <c r="E577" s="53"/>
      <c r="F577" s="53"/>
    </row>
    <row r="578" spans="1:6" x14ac:dyDescent="0.2">
      <c r="A578" s="27"/>
      <c r="B578" s="52"/>
      <c r="C578" s="27"/>
      <c r="D578" s="53"/>
      <c r="E578" s="53"/>
      <c r="F578" s="53"/>
    </row>
    <row r="579" spans="1:6" x14ac:dyDescent="0.2">
      <c r="A579" s="27"/>
      <c r="B579" s="52"/>
      <c r="C579" s="27"/>
      <c r="D579" s="53"/>
      <c r="E579" s="53"/>
      <c r="F579" s="53"/>
    </row>
    <row r="580" spans="1:6" x14ac:dyDescent="0.2">
      <c r="A580" s="27"/>
      <c r="B580" s="52"/>
      <c r="C580" s="27"/>
      <c r="D580" s="53"/>
      <c r="E580" s="53"/>
      <c r="F580" s="53"/>
    </row>
    <row r="581" spans="1:6" x14ac:dyDescent="0.2">
      <c r="A581" s="27"/>
      <c r="B581" s="52"/>
      <c r="C581" s="27"/>
      <c r="D581" s="53"/>
      <c r="E581" s="53"/>
      <c r="F581" s="53"/>
    </row>
    <row r="582" spans="1:6" x14ac:dyDescent="0.2">
      <c r="A582" s="27"/>
      <c r="B582" s="52"/>
      <c r="C582" s="27"/>
      <c r="D582" s="53"/>
      <c r="E582" s="53"/>
      <c r="F582" s="53"/>
    </row>
    <row r="583" spans="1:6" x14ac:dyDescent="0.2">
      <c r="A583" s="27"/>
      <c r="B583" s="52"/>
      <c r="C583" s="27"/>
      <c r="D583" s="53"/>
      <c r="E583" s="53"/>
      <c r="F583" s="53"/>
    </row>
    <row r="584" spans="1:6" x14ac:dyDescent="0.2">
      <c r="A584" s="27"/>
      <c r="B584" s="52"/>
      <c r="C584" s="27"/>
      <c r="D584" s="53"/>
      <c r="E584" s="53"/>
      <c r="F584" s="53"/>
    </row>
    <row r="585" spans="1:6" x14ac:dyDescent="0.2">
      <c r="A585" s="27"/>
      <c r="B585" s="52"/>
      <c r="C585" s="27"/>
      <c r="D585" s="53"/>
      <c r="E585" s="53"/>
      <c r="F585" s="53"/>
    </row>
    <row r="586" spans="1:6" x14ac:dyDescent="0.2">
      <c r="A586" s="27"/>
      <c r="B586" s="52"/>
      <c r="C586" s="27"/>
      <c r="D586" s="53"/>
      <c r="E586" s="53"/>
      <c r="F586" s="53"/>
    </row>
    <row r="587" spans="1:6" x14ac:dyDescent="0.2">
      <c r="A587" s="27"/>
      <c r="B587" s="52"/>
      <c r="C587" s="27"/>
      <c r="D587" s="53"/>
      <c r="E587" s="53"/>
      <c r="F587" s="53"/>
    </row>
    <row r="588" spans="1:6" x14ac:dyDescent="0.2">
      <c r="A588" s="27"/>
      <c r="B588" s="52"/>
      <c r="C588" s="27"/>
      <c r="D588" s="53"/>
      <c r="E588" s="53"/>
      <c r="F588" s="53"/>
    </row>
    <row r="589" spans="1:6" x14ac:dyDescent="0.2">
      <c r="A589" s="27"/>
      <c r="B589" s="52"/>
      <c r="C589" s="27"/>
      <c r="D589" s="53"/>
      <c r="E589" s="53"/>
      <c r="F589" s="53"/>
    </row>
    <row r="590" spans="1:6" x14ac:dyDescent="0.2">
      <c r="A590" s="27"/>
      <c r="B590" s="52"/>
      <c r="C590" s="27"/>
      <c r="D590" s="53"/>
      <c r="E590" s="53"/>
      <c r="F590" s="53"/>
    </row>
    <row r="591" spans="1:6" x14ac:dyDescent="0.2">
      <c r="A591" s="27"/>
      <c r="B591" s="52"/>
      <c r="C591" s="27"/>
      <c r="D591" s="53"/>
      <c r="E591" s="53"/>
      <c r="F591" s="53"/>
    </row>
    <row r="592" spans="1:6" x14ac:dyDescent="0.2">
      <c r="A592" s="27"/>
      <c r="B592" s="52"/>
      <c r="C592" s="27"/>
      <c r="D592" s="53"/>
      <c r="E592" s="53"/>
      <c r="F592" s="53"/>
    </row>
    <row r="593" spans="1:6" x14ac:dyDescent="0.2">
      <c r="A593" s="27"/>
      <c r="B593" s="52"/>
      <c r="C593" s="27"/>
      <c r="D593" s="53"/>
      <c r="E593" s="53"/>
      <c r="F593" s="53"/>
    </row>
    <row r="594" spans="1:6" x14ac:dyDescent="0.2">
      <c r="A594" s="27"/>
      <c r="B594" s="52"/>
      <c r="C594" s="27"/>
      <c r="D594" s="53"/>
      <c r="E594" s="53"/>
      <c r="F594" s="53"/>
    </row>
    <row r="595" spans="1:6" x14ac:dyDescent="0.2">
      <c r="A595" s="27"/>
      <c r="B595" s="52"/>
      <c r="C595" s="27"/>
      <c r="D595" s="53"/>
      <c r="E595" s="53"/>
      <c r="F595" s="53"/>
    </row>
    <row r="596" spans="1:6" x14ac:dyDescent="0.2">
      <c r="A596" s="27"/>
      <c r="B596" s="52"/>
      <c r="C596" s="27"/>
      <c r="D596" s="53"/>
      <c r="E596" s="53"/>
      <c r="F596" s="53"/>
    </row>
    <row r="597" spans="1:6" x14ac:dyDescent="0.2">
      <c r="A597" s="27"/>
      <c r="B597" s="52"/>
      <c r="C597" s="27"/>
      <c r="D597" s="53"/>
      <c r="E597" s="53"/>
      <c r="F597" s="53"/>
    </row>
    <row r="598" spans="1:6" x14ac:dyDescent="0.2">
      <c r="A598" s="27"/>
      <c r="B598" s="52"/>
      <c r="C598" s="27"/>
      <c r="D598" s="53"/>
      <c r="E598" s="53"/>
      <c r="F598" s="53"/>
    </row>
    <row r="599" spans="1:6" x14ac:dyDescent="0.2">
      <c r="A599" s="27"/>
      <c r="B599" s="52"/>
      <c r="C599" s="27"/>
      <c r="D599" s="53"/>
      <c r="E599" s="53"/>
      <c r="F599" s="53"/>
    </row>
    <row r="600" spans="1:6" x14ac:dyDescent="0.2">
      <c r="A600" s="27"/>
      <c r="B600" s="52"/>
      <c r="C600" s="27"/>
      <c r="D600" s="53"/>
      <c r="E600" s="53"/>
      <c r="F600" s="53"/>
    </row>
    <row r="601" spans="1:6" x14ac:dyDescent="0.2">
      <c r="A601" s="27"/>
      <c r="B601" s="52"/>
      <c r="C601" s="27"/>
      <c r="D601" s="53"/>
      <c r="E601" s="53"/>
      <c r="F601" s="53"/>
    </row>
    <row r="602" spans="1:6" x14ac:dyDescent="0.2">
      <c r="A602" s="27"/>
      <c r="B602" s="52"/>
      <c r="C602" s="27"/>
      <c r="D602" s="53"/>
      <c r="E602" s="53"/>
      <c r="F602" s="53"/>
    </row>
    <row r="603" spans="1:6" x14ac:dyDescent="0.2">
      <c r="A603" s="27"/>
      <c r="B603" s="52"/>
      <c r="C603" s="27"/>
      <c r="D603" s="53"/>
      <c r="E603" s="53"/>
      <c r="F603" s="53"/>
    </row>
    <row r="604" spans="1:6" x14ac:dyDescent="0.2">
      <c r="A604" s="27"/>
      <c r="B604" s="52"/>
      <c r="C604" s="27"/>
      <c r="D604" s="53"/>
      <c r="E604" s="53"/>
      <c r="F604" s="53"/>
    </row>
    <row r="605" spans="1:6" x14ac:dyDescent="0.2">
      <c r="A605" s="27"/>
      <c r="B605" s="52"/>
      <c r="C605" s="27"/>
      <c r="D605" s="53"/>
      <c r="E605" s="53"/>
      <c r="F605" s="53"/>
    </row>
    <row r="606" spans="1:6" x14ac:dyDescent="0.2">
      <c r="A606" s="27"/>
      <c r="B606" s="52"/>
      <c r="C606" s="27"/>
      <c r="D606" s="53"/>
      <c r="E606" s="53"/>
      <c r="F606" s="53"/>
    </row>
    <row r="607" spans="1:6" x14ac:dyDescent="0.2">
      <c r="A607" s="27"/>
      <c r="B607" s="52"/>
      <c r="C607" s="27"/>
      <c r="D607" s="53"/>
      <c r="E607" s="53"/>
      <c r="F607" s="53"/>
    </row>
    <row r="608" spans="1:6" x14ac:dyDescent="0.2">
      <c r="A608" s="27"/>
      <c r="B608" s="52"/>
      <c r="C608" s="27"/>
      <c r="D608" s="53"/>
      <c r="E608" s="53"/>
      <c r="F608" s="53"/>
    </row>
    <row r="609" spans="1:6" x14ac:dyDescent="0.2">
      <c r="A609" s="27"/>
      <c r="B609" s="52"/>
      <c r="C609" s="27"/>
      <c r="D609" s="53"/>
      <c r="E609" s="53"/>
      <c r="F609" s="53"/>
    </row>
    <row r="610" spans="1:6" x14ac:dyDescent="0.2">
      <c r="A610" s="27"/>
      <c r="B610" s="52"/>
      <c r="C610" s="27"/>
      <c r="D610" s="53"/>
      <c r="E610" s="53"/>
      <c r="F610" s="53"/>
    </row>
    <row r="611" spans="1:6" x14ac:dyDescent="0.2">
      <c r="A611" s="27"/>
      <c r="B611" s="52"/>
      <c r="C611" s="27"/>
      <c r="D611" s="53"/>
      <c r="E611" s="53"/>
      <c r="F611" s="53"/>
    </row>
    <row r="612" spans="1:6" x14ac:dyDescent="0.2">
      <c r="A612" s="27"/>
      <c r="B612" s="52"/>
      <c r="C612" s="27"/>
      <c r="D612" s="53"/>
      <c r="E612" s="53"/>
      <c r="F612" s="53"/>
    </row>
    <row r="613" spans="1:6" x14ac:dyDescent="0.2">
      <c r="A613" s="27"/>
      <c r="B613" s="52"/>
      <c r="C613" s="27"/>
      <c r="D613" s="53"/>
      <c r="E613" s="53"/>
      <c r="F613" s="53"/>
    </row>
    <row r="614" spans="1:6" x14ac:dyDescent="0.2">
      <c r="A614" s="27"/>
      <c r="B614" s="52"/>
      <c r="C614" s="27"/>
      <c r="D614" s="53"/>
      <c r="E614" s="53"/>
      <c r="F614" s="53"/>
    </row>
    <row r="615" spans="1:6" x14ac:dyDescent="0.2">
      <c r="A615" s="27"/>
      <c r="B615" s="52"/>
      <c r="C615" s="27"/>
      <c r="D615" s="53"/>
      <c r="E615" s="53"/>
      <c r="F615" s="53"/>
    </row>
    <row r="616" spans="1:6" x14ac:dyDescent="0.2">
      <c r="A616" s="27"/>
      <c r="B616" s="52"/>
      <c r="C616" s="27"/>
      <c r="D616" s="53"/>
      <c r="E616" s="53"/>
      <c r="F616" s="53"/>
    </row>
    <row r="617" spans="1:6" x14ac:dyDescent="0.2">
      <c r="A617" s="27"/>
      <c r="B617" s="52"/>
      <c r="C617" s="27"/>
      <c r="D617" s="53"/>
      <c r="E617" s="53"/>
      <c r="F617" s="53"/>
    </row>
    <row r="618" spans="1:6" x14ac:dyDescent="0.2">
      <c r="A618" s="27"/>
      <c r="B618" s="52"/>
      <c r="C618" s="27"/>
      <c r="D618" s="53"/>
      <c r="E618" s="53"/>
      <c r="F618" s="53"/>
    </row>
    <row r="619" spans="1:6" x14ac:dyDescent="0.2">
      <c r="A619" s="27"/>
      <c r="B619" s="52"/>
      <c r="C619" s="27"/>
      <c r="D619" s="53"/>
      <c r="E619" s="53"/>
      <c r="F619" s="53"/>
    </row>
    <row r="620" spans="1:6" x14ac:dyDescent="0.2">
      <c r="A620" s="27"/>
      <c r="B620" s="52"/>
      <c r="C620" s="27"/>
      <c r="D620" s="53"/>
      <c r="E620" s="53"/>
      <c r="F620" s="53"/>
    </row>
    <row r="621" spans="1:6" x14ac:dyDescent="0.2">
      <c r="A621" s="27"/>
      <c r="B621" s="52"/>
      <c r="C621" s="27"/>
      <c r="D621" s="53"/>
      <c r="E621" s="53"/>
      <c r="F621" s="53"/>
    </row>
    <row r="622" spans="1:6" x14ac:dyDescent="0.2">
      <c r="A622" s="27"/>
      <c r="B622" s="52"/>
      <c r="C622" s="27"/>
      <c r="D622" s="53"/>
      <c r="E622" s="53"/>
      <c r="F622" s="53"/>
    </row>
    <row r="623" spans="1:6" x14ac:dyDescent="0.2">
      <c r="A623" s="27"/>
      <c r="B623" s="52"/>
      <c r="C623" s="27"/>
      <c r="D623" s="53"/>
      <c r="E623" s="53"/>
      <c r="F623" s="53"/>
    </row>
    <row r="624" spans="1:6" x14ac:dyDescent="0.2">
      <c r="A624" s="27"/>
      <c r="B624" s="52"/>
      <c r="C624" s="27"/>
      <c r="D624" s="53"/>
      <c r="E624" s="53"/>
      <c r="F624" s="53"/>
    </row>
    <row r="625" spans="1:6" x14ac:dyDescent="0.2">
      <c r="A625" s="27"/>
      <c r="B625" s="52"/>
      <c r="C625" s="27"/>
      <c r="D625" s="53"/>
      <c r="E625" s="53"/>
      <c r="F625" s="53"/>
    </row>
    <row r="626" spans="1:6" x14ac:dyDescent="0.2">
      <c r="A626" s="27"/>
      <c r="B626" s="52"/>
      <c r="C626" s="27"/>
      <c r="D626" s="53"/>
      <c r="E626" s="53"/>
      <c r="F626" s="53"/>
    </row>
    <row r="627" spans="1:6" x14ac:dyDescent="0.2">
      <c r="A627" s="27"/>
      <c r="B627" s="52"/>
      <c r="C627" s="27"/>
      <c r="D627" s="53"/>
      <c r="E627" s="53"/>
      <c r="F627" s="53"/>
    </row>
    <row r="628" spans="1:6" x14ac:dyDescent="0.2">
      <c r="A628" s="27"/>
      <c r="B628" s="52"/>
      <c r="C628" s="27"/>
      <c r="D628" s="53"/>
      <c r="E628" s="53"/>
      <c r="F628" s="53"/>
    </row>
    <row r="629" spans="1:6" x14ac:dyDescent="0.2">
      <c r="A629" s="27"/>
      <c r="B629" s="52"/>
      <c r="C629" s="27"/>
      <c r="D629" s="53"/>
      <c r="E629" s="53"/>
      <c r="F629" s="53"/>
    </row>
    <row r="630" spans="1:6" x14ac:dyDescent="0.2">
      <c r="A630" s="27"/>
      <c r="B630" s="52"/>
      <c r="C630" s="27"/>
      <c r="D630" s="53"/>
      <c r="E630" s="53"/>
      <c r="F630" s="53"/>
    </row>
    <row r="631" spans="1:6" x14ac:dyDescent="0.2">
      <c r="A631" s="27"/>
      <c r="B631" s="52"/>
      <c r="C631" s="27"/>
      <c r="D631" s="53"/>
      <c r="E631" s="53"/>
      <c r="F631" s="53"/>
    </row>
    <row r="632" spans="1:6" x14ac:dyDescent="0.2">
      <c r="A632" s="27"/>
      <c r="B632" s="52"/>
      <c r="C632" s="27"/>
      <c r="D632" s="53"/>
      <c r="E632" s="53"/>
      <c r="F632" s="53"/>
    </row>
    <row r="633" spans="1:6" x14ac:dyDescent="0.2">
      <c r="A633" s="27"/>
      <c r="B633" s="52"/>
      <c r="C633" s="27"/>
      <c r="D633" s="53"/>
      <c r="E633" s="53"/>
      <c r="F633" s="53"/>
    </row>
    <row r="634" spans="1:6" x14ac:dyDescent="0.2">
      <c r="A634" s="27"/>
      <c r="B634" s="52"/>
      <c r="C634" s="27"/>
      <c r="D634" s="53"/>
      <c r="E634" s="53"/>
      <c r="F634" s="53"/>
    </row>
    <row r="635" spans="1:6" x14ac:dyDescent="0.2">
      <c r="A635" s="27"/>
      <c r="B635" s="52"/>
      <c r="C635" s="27"/>
      <c r="D635" s="53"/>
      <c r="E635" s="53"/>
      <c r="F635" s="53"/>
    </row>
    <row r="636" spans="1:6" x14ac:dyDescent="0.2">
      <c r="A636" s="27"/>
      <c r="B636" s="52"/>
      <c r="C636" s="27"/>
      <c r="D636" s="53"/>
      <c r="E636" s="53"/>
      <c r="F636" s="53"/>
    </row>
    <row r="637" spans="1:6" x14ac:dyDescent="0.2">
      <c r="A637" s="27"/>
      <c r="B637" s="52"/>
      <c r="C637" s="27"/>
      <c r="D637" s="53"/>
      <c r="E637" s="53"/>
      <c r="F637" s="53"/>
    </row>
    <row r="638" spans="1:6" x14ac:dyDescent="0.2">
      <c r="A638" s="27"/>
      <c r="B638" s="52"/>
      <c r="C638" s="27"/>
      <c r="D638" s="53"/>
      <c r="E638" s="53"/>
      <c r="F638" s="53"/>
    </row>
    <row r="639" spans="1:6" x14ac:dyDescent="0.2">
      <c r="A639" s="27"/>
      <c r="B639" s="52"/>
      <c r="C639" s="27"/>
      <c r="D639" s="53"/>
      <c r="E639" s="53"/>
      <c r="F639" s="53"/>
    </row>
    <row r="640" spans="1:6" x14ac:dyDescent="0.2">
      <c r="A640" s="27"/>
      <c r="B640" s="52"/>
      <c r="C640" s="27"/>
      <c r="D640" s="53"/>
      <c r="E640" s="53"/>
      <c r="F640" s="53"/>
    </row>
    <row r="641" spans="1:6" x14ac:dyDescent="0.2">
      <c r="A641" s="27"/>
      <c r="B641" s="52"/>
      <c r="C641" s="27"/>
      <c r="D641" s="53"/>
      <c r="E641" s="53"/>
      <c r="F641" s="53"/>
    </row>
    <row r="642" spans="1:6" x14ac:dyDescent="0.2">
      <c r="A642" s="27"/>
      <c r="B642" s="52"/>
      <c r="C642" s="27"/>
      <c r="D642" s="53"/>
      <c r="E642" s="53"/>
      <c r="F642" s="53"/>
    </row>
    <row r="643" spans="1:6" x14ac:dyDescent="0.2">
      <c r="A643" s="27"/>
      <c r="B643" s="52"/>
      <c r="C643" s="27"/>
      <c r="D643" s="53"/>
      <c r="E643" s="53"/>
      <c r="F643" s="53"/>
    </row>
    <row r="644" spans="1:6" x14ac:dyDescent="0.2">
      <c r="A644" s="27"/>
      <c r="B644" s="52"/>
      <c r="C644" s="27"/>
      <c r="D644" s="53"/>
      <c r="E644" s="53"/>
      <c r="F644" s="53"/>
    </row>
    <row r="645" spans="1:6" x14ac:dyDescent="0.2">
      <c r="A645" s="27"/>
      <c r="B645" s="52"/>
      <c r="C645" s="27"/>
      <c r="D645" s="53"/>
      <c r="E645" s="53"/>
      <c r="F645" s="53"/>
    </row>
    <row r="646" spans="1:6" x14ac:dyDescent="0.2">
      <c r="A646" s="27"/>
      <c r="B646" s="52"/>
      <c r="C646" s="27"/>
      <c r="D646" s="53"/>
      <c r="E646" s="53"/>
      <c r="F646" s="53"/>
    </row>
    <row r="647" spans="1:6" x14ac:dyDescent="0.2">
      <c r="A647" s="27"/>
      <c r="B647" s="52"/>
      <c r="C647" s="27"/>
      <c r="D647" s="53"/>
      <c r="E647" s="53"/>
      <c r="F647" s="53"/>
    </row>
    <row r="648" spans="1:6" x14ac:dyDescent="0.2">
      <c r="A648" s="27"/>
      <c r="B648" s="52"/>
      <c r="C648" s="27"/>
      <c r="D648" s="53"/>
      <c r="E648" s="53"/>
      <c r="F648" s="53"/>
    </row>
    <row r="649" spans="1:6" x14ac:dyDescent="0.2">
      <c r="A649" s="27"/>
      <c r="B649" s="52"/>
      <c r="C649" s="27"/>
      <c r="D649" s="53"/>
      <c r="E649" s="53"/>
      <c r="F649" s="53"/>
    </row>
    <row r="650" spans="1:6" x14ac:dyDescent="0.2">
      <c r="A650" s="27"/>
      <c r="B650" s="52"/>
      <c r="C650" s="27"/>
      <c r="D650" s="53"/>
      <c r="E650" s="53"/>
      <c r="F650" s="53"/>
    </row>
    <row r="651" spans="1:6" x14ac:dyDescent="0.2">
      <c r="A651" s="27"/>
      <c r="B651" s="52"/>
      <c r="C651" s="27"/>
      <c r="D651" s="53"/>
      <c r="E651" s="53"/>
      <c r="F651" s="53"/>
    </row>
    <row r="652" spans="1:6" x14ac:dyDescent="0.2">
      <c r="A652" s="27"/>
      <c r="B652" s="52"/>
      <c r="C652" s="27"/>
      <c r="D652" s="53"/>
      <c r="E652" s="53"/>
      <c r="F652" s="53"/>
    </row>
    <row r="653" spans="1:6" x14ac:dyDescent="0.2">
      <c r="A653" s="27"/>
      <c r="B653" s="52"/>
      <c r="C653" s="27"/>
      <c r="D653" s="53"/>
      <c r="E653" s="53"/>
      <c r="F653" s="53"/>
    </row>
    <row r="654" spans="1:6" x14ac:dyDescent="0.2">
      <c r="A654" s="27"/>
      <c r="B654" s="52"/>
      <c r="C654" s="27"/>
      <c r="D654" s="53"/>
      <c r="E654" s="53"/>
      <c r="F654" s="53"/>
    </row>
    <row r="655" spans="1:6" x14ac:dyDescent="0.2">
      <c r="A655" s="27"/>
      <c r="B655" s="52"/>
      <c r="C655" s="27"/>
      <c r="D655" s="53"/>
      <c r="E655" s="53"/>
      <c r="F655" s="53"/>
    </row>
    <row r="656" spans="1:6" x14ac:dyDescent="0.2">
      <c r="A656" s="27"/>
      <c r="B656" s="52"/>
      <c r="C656" s="27"/>
      <c r="D656" s="53"/>
      <c r="E656" s="53"/>
      <c r="F656" s="53"/>
    </row>
    <row r="657" spans="1:6" x14ac:dyDescent="0.2">
      <c r="A657" s="27"/>
      <c r="B657" s="52"/>
      <c r="C657" s="27"/>
      <c r="D657" s="53"/>
      <c r="E657" s="53"/>
      <c r="F657" s="53"/>
    </row>
    <row r="658" spans="1:6" x14ac:dyDescent="0.2">
      <c r="A658" s="27"/>
      <c r="B658" s="52"/>
      <c r="C658" s="27"/>
      <c r="D658" s="53"/>
      <c r="E658" s="53"/>
      <c r="F658" s="53"/>
    </row>
    <row r="659" spans="1:6" x14ac:dyDescent="0.2">
      <c r="A659" s="27"/>
      <c r="B659" s="52"/>
      <c r="C659" s="27"/>
      <c r="D659" s="53"/>
      <c r="E659" s="53"/>
      <c r="F659" s="53"/>
    </row>
    <row r="660" spans="1:6" x14ac:dyDescent="0.2">
      <c r="A660" s="27"/>
      <c r="B660" s="52"/>
      <c r="C660" s="27"/>
      <c r="D660" s="53"/>
      <c r="E660" s="53"/>
      <c r="F660" s="53"/>
    </row>
    <row r="661" spans="1:6" x14ac:dyDescent="0.2">
      <c r="A661" s="27"/>
      <c r="B661" s="52"/>
      <c r="C661" s="27"/>
      <c r="D661" s="53"/>
      <c r="E661" s="53"/>
      <c r="F661" s="53"/>
    </row>
    <row r="662" spans="1:6" x14ac:dyDescent="0.2">
      <c r="A662" s="27"/>
      <c r="B662" s="52"/>
      <c r="C662" s="27"/>
      <c r="D662" s="53"/>
      <c r="E662" s="53"/>
      <c r="F662" s="53"/>
    </row>
    <row r="663" spans="1:6" x14ac:dyDescent="0.2">
      <c r="A663" s="27"/>
      <c r="B663" s="52"/>
      <c r="C663" s="27"/>
      <c r="D663" s="53"/>
      <c r="E663" s="53"/>
      <c r="F663" s="53"/>
    </row>
    <row r="664" spans="1:6" x14ac:dyDescent="0.2">
      <c r="A664" s="27"/>
      <c r="B664" s="52"/>
      <c r="C664" s="27"/>
      <c r="D664" s="53"/>
      <c r="E664" s="53"/>
      <c r="F664" s="53"/>
    </row>
    <row r="665" spans="1:6" x14ac:dyDescent="0.2">
      <c r="A665" s="27"/>
      <c r="B665" s="52"/>
      <c r="C665" s="27"/>
      <c r="D665" s="53"/>
      <c r="E665" s="53"/>
      <c r="F665" s="53"/>
    </row>
    <row r="666" spans="1:6" x14ac:dyDescent="0.2">
      <c r="A666" s="27"/>
      <c r="B666" s="52"/>
      <c r="C666" s="27"/>
      <c r="D666" s="53"/>
      <c r="E666" s="53"/>
      <c r="F666" s="53"/>
    </row>
    <row r="667" spans="1:6" x14ac:dyDescent="0.2">
      <c r="A667" s="27"/>
      <c r="B667" s="52"/>
      <c r="C667" s="27"/>
      <c r="D667" s="53"/>
      <c r="E667" s="53"/>
      <c r="F667" s="53"/>
    </row>
    <row r="668" spans="1:6" x14ac:dyDescent="0.2">
      <c r="A668" s="27"/>
      <c r="B668" s="52"/>
      <c r="C668" s="27"/>
      <c r="D668" s="53"/>
      <c r="E668" s="53"/>
      <c r="F668" s="53"/>
    </row>
    <row r="669" spans="1:6" x14ac:dyDescent="0.2">
      <c r="A669" s="27"/>
      <c r="B669" s="52"/>
      <c r="C669" s="27"/>
      <c r="D669" s="53"/>
      <c r="E669" s="53"/>
      <c r="F669" s="53"/>
    </row>
    <row r="670" spans="1:6" x14ac:dyDescent="0.2">
      <c r="A670" s="27"/>
      <c r="B670" s="52"/>
      <c r="C670" s="27"/>
      <c r="D670" s="53"/>
      <c r="E670" s="53"/>
      <c r="F670" s="53"/>
    </row>
    <row r="671" spans="1:6" x14ac:dyDescent="0.2">
      <c r="A671" s="27"/>
      <c r="B671" s="52"/>
      <c r="C671" s="27"/>
      <c r="D671" s="53"/>
      <c r="E671" s="53"/>
      <c r="F671" s="53"/>
    </row>
    <row r="672" spans="1:6" x14ac:dyDescent="0.2">
      <c r="A672" s="27"/>
      <c r="B672" s="52"/>
      <c r="C672" s="27"/>
      <c r="D672" s="53"/>
      <c r="E672" s="53"/>
      <c r="F672" s="53"/>
    </row>
    <row r="673" spans="1:6" x14ac:dyDescent="0.2">
      <c r="A673" s="27"/>
      <c r="B673" s="52"/>
      <c r="C673" s="27"/>
      <c r="D673" s="53"/>
      <c r="E673" s="53"/>
      <c r="F673" s="53"/>
    </row>
    <row r="674" spans="1:6" x14ac:dyDescent="0.2">
      <c r="A674" s="27"/>
      <c r="B674" s="52"/>
      <c r="C674" s="27"/>
      <c r="D674" s="53"/>
      <c r="E674" s="53"/>
      <c r="F674" s="53"/>
    </row>
    <row r="675" spans="1:6" x14ac:dyDescent="0.2">
      <c r="A675" s="27"/>
      <c r="B675" s="52"/>
      <c r="C675" s="27"/>
      <c r="D675" s="53"/>
      <c r="E675" s="53"/>
      <c r="F675" s="53"/>
    </row>
    <row r="676" spans="1:6" x14ac:dyDescent="0.2">
      <c r="A676" s="27"/>
      <c r="B676" s="52"/>
      <c r="C676" s="27"/>
      <c r="D676" s="53"/>
      <c r="E676" s="53"/>
      <c r="F676" s="53"/>
    </row>
    <row r="677" spans="1:6" x14ac:dyDescent="0.2">
      <c r="A677" s="27"/>
      <c r="B677" s="52"/>
      <c r="C677" s="27"/>
      <c r="D677" s="53"/>
      <c r="E677" s="53"/>
      <c r="F677" s="53"/>
    </row>
    <row r="678" spans="1:6" x14ac:dyDescent="0.2">
      <c r="A678" s="27"/>
      <c r="B678" s="52"/>
      <c r="C678" s="27"/>
      <c r="D678" s="53"/>
      <c r="E678" s="53"/>
      <c r="F678" s="53"/>
    </row>
    <row r="679" spans="1:6" x14ac:dyDescent="0.2">
      <c r="A679" s="27"/>
      <c r="B679" s="52"/>
      <c r="C679" s="27"/>
      <c r="D679" s="53"/>
      <c r="E679" s="53"/>
      <c r="F679" s="53"/>
    </row>
    <row r="680" spans="1:6" x14ac:dyDescent="0.2">
      <c r="A680" s="27"/>
      <c r="B680" s="52"/>
      <c r="C680" s="27"/>
      <c r="D680" s="53"/>
      <c r="E680" s="53"/>
      <c r="F680" s="53"/>
    </row>
    <row r="681" spans="1:6" x14ac:dyDescent="0.2">
      <c r="A681" s="27"/>
      <c r="B681" s="52"/>
      <c r="C681" s="27"/>
      <c r="D681" s="53"/>
      <c r="E681" s="53"/>
      <c r="F681" s="53"/>
    </row>
    <row r="682" spans="1:6" x14ac:dyDescent="0.2">
      <c r="A682" s="27"/>
      <c r="B682" s="52"/>
      <c r="C682" s="27"/>
      <c r="D682" s="53"/>
      <c r="E682" s="53"/>
      <c r="F682" s="53"/>
    </row>
    <row r="683" spans="1:6" x14ac:dyDescent="0.2">
      <c r="A683" s="27"/>
      <c r="B683" s="52"/>
      <c r="C683" s="27"/>
      <c r="D683" s="53"/>
      <c r="E683" s="53"/>
      <c r="F683" s="53"/>
    </row>
    <row r="684" spans="1:6" x14ac:dyDescent="0.2">
      <c r="A684" s="27"/>
      <c r="B684" s="52"/>
      <c r="C684" s="27"/>
      <c r="D684" s="53"/>
      <c r="E684" s="53"/>
      <c r="F684" s="53"/>
    </row>
    <row r="685" spans="1:6" x14ac:dyDescent="0.2">
      <c r="A685" s="27"/>
      <c r="B685" s="52"/>
      <c r="C685" s="27"/>
      <c r="D685" s="53"/>
      <c r="E685" s="53"/>
      <c r="F685" s="53"/>
    </row>
    <row r="686" spans="1:6" x14ac:dyDescent="0.2">
      <c r="A686" s="27"/>
      <c r="B686" s="52"/>
      <c r="C686" s="27"/>
      <c r="D686" s="53"/>
      <c r="E686" s="53"/>
      <c r="F686" s="53"/>
    </row>
    <row r="687" spans="1:6" x14ac:dyDescent="0.2">
      <c r="A687" s="27"/>
      <c r="B687" s="52"/>
      <c r="C687" s="27"/>
      <c r="D687" s="53"/>
      <c r="E687" s="53"/>
      <c r="F687" s="53"/>
    </row>
    <row r="688" spans="1:6" x14ac:dyDescent="0.2">
      <c r="A688" s="27"/>
      <c r="B688" s="52"/>
      <c r="C688" s="27"/>
      <c r="D688" s="53"/>
      <c r="E688" s="53"/>
      <c r="F688" s="53"/>
    </row>
    <row r="689" spans="1:6" x14ac:dyDescent="0.2">
      <c r="A689" s="27"/>
      <c r="B689" s="52"/>
      <c r="C689" s="27"/>
      <c r="D689" s="53"/>
      <c r="E689" s="53"/>
      <c r="F689" s="53"/>
    </row>
    <row r="690" spans="1:6" x14ac:dyDescent="0.2">
      <c r="A690" s="27"/>
      <c r="B690" s="52"/>
      <c r="C690" s="27"/>
      <c r="D690" s="53"/>
      <c r="E690" s="53"/>
      <c r="F690" s="53"/>
    </row>
    <row r="691" spans="1:6" x14ac:dyDescent="0.2">
      <c r="A691" s="27"/>
      <c r="B691" s="52"/>
      <c r="C691" s="27"/>
      <c r="D691" s="53"/>
      <c r="E691" s="53"/>
      <c r="F691" s="53"/>
    </row>
    <row r="692" spans="1:6" x14ac:dyDescent="0.2">
      <c r="A692" s="27"/>
      <c r="B692" s="52"/>
      <c r="C692" s="27"/>
      <c r="D692" s="53"/>
      <c r="E692" s="53"/>
      <c r="F692" s="53"/>
    </row>
    <row r="693" spans="1:6" x14ac:dyDescent="0.2">
      <c r="A693" s="27"/>
      <c r="B693" s="52"/>
      <c r="C693" s="27"/>
      <c r="D693" s="53"/>
      <c r="E693" s="53"/>
      <c r="F693" s="53"/>
    </row>
    <row r="694" spans="1:6" x14ac:dyDescent="0.2">
      <c r="A694" s="27"/>
      <c r="B694" s="52"/>
      <c r="C694" s="27"/>
      <c r="D694" s="53"/>
      <c r="E694" s="53"/>
      <c r="F694" s="53"/>
    </row>
    <row r="695" spans="1:6" x14ac:dyDescent="0.2">
      <c r="A695" s="27"/>
      <c r="B695" s="52"/>
      <c r="C695" s="27"/>
      <c r="D695" s="53"/>
      <c r="E695" s="53"/>
      <c r="F695" s="53"/>
    </row>
    <row r="696" spans="1:6" x14ac:dyDescent="0.2">
      <c r="A696" s="27"/>
      <c r="B696" s="52"/>
      <c r="C696" s="27"/>
      <c r="D696" s="53"/>
      <c r="E696" s="53"/>
      <c r="F696" s="53"/>
    </row>
    <row r="697" spans="1:6" x14ac:dyDescent="0.2">
      <c r="A697" s="27"/>
      <c r="B697" s="52"/>
      <c r="C697" s="27"/>
      <c r="D697" s="53"/>
      <c r="E697" s="53"/>
      <c r="F697" s="53"/>
    </row>
    <row r="698" spans="1:6" x14ac:dyDescent="0.2">
      <c r="A698" s="27"/>
      <c r="B698" s="52"/>
      <c r="C698" s="27"/>
      <c r="D698" s="53"/>
      <c r="E698" s="53"/>
      <c r="F698" s="53"/>
    </row>
    <row r="699" spans="1:6" x14ac:dyDescent="0.2">
      <c r="A699" s="27"/>
      <c r="B699" s="52"/>
      <c r="C699" s="27"/>
      <c r="D699" s="53"/>
      <c r="E699" s="53"/>
      <c r="F699" s="53"/>
    </row>
    <row r="700" spans="1:6" x14ac:dyDescent="0.2">
      <c r="A700" s="27"/>
      <c r="B700" s="52"/>
      <c r="C700" s="27"/>
      <c r="D700" s="53"/>
      <c r="E700" s="53"/>
      <c r="F700" s="53"/>
    </row>
    <row r="701" spans="1:6" x14ac:dyDescent="0.2">
      <c r="A701" s="27"/>
      <c r="B701" s="52"/>
      <c r="C701" s="27"/>
      <c r="D701" s="53"/>
      <c r="E701" s="53"/>
      <c r="F701" s="53"/>
    </row>
    <row r="702" spans="1:6" x14ac:dyDescent="0.2">
      <c r="A702" s="27"/>
      <c r="B702" s="52"/>
      <c r="C702" s="27"/>
      <c r="D702" s="53"/>
      <c r="E702" s="53"/>
      <c r="F702" s="53"/>
    </row>
    <row r="703" spans="1:6" x14ac:dyDescent="0.2">
      <c r="A703" s="27"/>
      <c r="B703" s="52"/>
      <c r="C703" s="27"/>
      <c r="D703" s="53"/>
      <c r="E703" s="53"/>
      <c r="F703" s="53"/>
    </row>
    <row r="704" spans="1:6" x14ac:dyDescent="0.2">
      <c r="A704" s="27"/>
      <c r="B704" s="52"/>
      <c r="C704" s="27"/>
      <c r="D704" s="53"/>
      <c r="E704" s="53"/>
      <c r="F704" s="53"/>
    </row>
    <row r="705" spans="1:6" x14ac:dyDescent="0.2">
      <c r="A705" s="27"/>
      <c r="B705" s="52"/>
      <c r="C705" s="27"/>
      <c r="D705" s="53"/>
      <c r="E705" s="53"/>
      <c r="F705" s="53"/>
    </row>
    <row r="706" spans="1:6" x14ac:dyDescent="0.2">
      <c r="A706" s="27"/>
      <c r="B706" s="52"/>
      <c r="C706" s="27"/>
      <c r="D706" s="53"/>
      <c r="E706" s="53"/>
      <c r="F706" s="53"/>
    </row>
    <row r="707" spans="1:6" x14ac:dyDescent="0.2">
      <c r="A707" s="27"/>
      <c r="B707" s="52"/>
      <c r="C707" s="27"/>
      <c r="D707" s="53"/>
      <c r="E707" s="53"/>
      <c r="F707" s="53"/>
    </row>
    <row r="708" spans="1:6" x14ac:dyDescent="0.2">
      <c r="A708" s="27"/>
      <c r="B708" s="52"/>
      <c r="C708" s="27"/>
      <c r="D708" s="53"/>
      <c r="E708" s="53"/>
      <c r="F708" s="53"/>
    </row>
    <row r="709" spans="1:6" x14ac:dyDescent="0.2">
      <c r="A709" s="27"/>
      <c r="B709" s="52"/>
      <c r="C709" s="27"/>
      <c r="D709" s="53"/>
      <c r="E709" s="53"/>
      <c r="F709" s="53"/>
    </row>
    <row r="710" spans="1:6" x14ac:dyDescent="0.2">
      <c r="A710" s="27"/>
      <c r="B710" s="52"/>
      <c r="C710" s="27"/>
      <c r="D710" s="53"/>
      <c r="E710" s="53"/>
      <c r="F710" s="53"/>
    </row>
    <row r="711" spans="1:6" x14ac:dyDescent="0.2">
      <c r="A711" s="27"/>
      <c r="B711" s="52"/>
      <c r="C711" s="27"/>
      <c r="D711" s="53"/>
      <c r="E711" s="53"/>
      <c r="F711" s="53"/>
    </row>
    <row r="712" spans="1:6" x14ac:dyDescent="0.2">
      <c r="A712" s="27"/>
      <c r="B712" s="52"/>
      <c r="C712" s="27"/>
      <c r="D712" s="53"/>
      <c r="E712" s="53"/>
      <c r="F712" s="53"/>
    </row>
    <row r="713" spans="1:6" x14ac:dyDescent="0.2">
      <c r="A713" s="27"/>
      <c r="B713" s="52"/>
      <c r="C713" s="27"/>
      <c r="D713" s="53"/>
      <c r="E713" s="53"/>
      <c r="F713" s="53"/>
    </row>
    <row r="714" spans="1:6" x14ac:dyDescent="0.2">
      <c r="A714" s="27"/>
      <c r="B714" s="52"/>
      <c r="C714" s="27"/>
      <c r="D714" s="53"/>
      <c r="E714" s="53"/>
      <c r="F714" s="53"/>
    </row>
    <row r="715" spans="1:6" x14ac:dyDescent="0.2">
      <c r="A715" s="27"/>
      <c r="B715" s="52"/>
      <c r="C715" s="27"/>
      <c r="D715" s="53"/>
      <c r="E715" s="53"/>
      <c r="F715" s="53"/>
    </row>
    <row r="716" spans="1:6" x14ac:dyDescent="0.2">
      <c r="A716" s="27"/>
      <c r="B716" s="52"/>
      <c r="C716" s="27"/>
      <c r="D716" s="53"/>
      <c r="E716" s="53"/>
      <c r="F716" s="53"/>
    </row>
    <row r="717" spans="1:6" x14ac:dyDescent="0.2">
      <c r="A717" s="27"/>
      <c r="B717" s="52"/>
      <c r="C717" s="27"/>
      <c r="D717" s="53"/>
      <c r="E717" s="53"/>
      <c r="F717" s="53"/>
    </row>
    <row r="718" spans="1:6" x14ac:dyDescent="0.2">
      <c r="A718" s="27"/>
      <c r="B718" s="52"/>
      <c r="C718" s="27"/>
      <c r="D718" s="53"/>
      <c r="E718" s="53"/>
      <c r="F718" s="53"/>
    </row>
    <row r="719" spans="1:6" x14ac:dyDescent="0.2">
      <c r="A719" s="27"/>
      <c r="B719" s="52"/>
      <c r="C719" s="27"/>
      <c r="D719" s="53"/>
      <c r="E719" s="53"/>
      <c r="F719" s="53"/>
    </row>
    <row r="720" spans="1:6" x14ac:dyDescent="0.2">
      <c r="A720" s="27"/>
      <c r="B720" s="52"/>
      <c r="C720" s="27"/>
      <c r="D720" s="53"/>
      <c r="E720" s="53"/>
      <c r="F720" s="53"/>
    </row>
    <row r="721" spans="1:6" x14ac:dyDescent="0.2">
      <c r="A721" s="27"/>
      <c r="B721" s="52"/>
      <c r="C721" s="27"/>
      <c r="D721" s="53"/>
      <c r="E721" s="53"/>
      <c r="F721" s="53"/>
    </row>
    <row r="722" spans="1:6" x14ac:dyDescent="0.2">
      <c r="A722" s="27"/>
      <c r="B722" s="52"/>
      <c r="C722" s="27"/>
      <c r="D722" s="53"/>
      <c r="E722" s="53"/>
      <c r="F722" s="53"/>
    </row>
    <row r="723" spans="1:6" x14ac:dyDescent="0.2">
      <c r="A723" s="27"/>
      <c r="B723" s="52"/>
      <c r="C723" s="27"/>
      <c r="D723" s="53"/>
      <c r="E723" s="53"/>
      <c r="F723" s="53"/>
    </row>
    <row r="724" spans="1:6" x14ac:dyDescent="0.2">
      <c r="A724" s="27"/>
      <c r="B724" s="52"/>
      <c r="C724" s="27"/>
      <c r="D724" s="53"/>
      <c r="E724" s="53"/>
      <c r="F724" s="53"/>
    </row>
    <row r="725" spans="1:6" x14ac:dyDescent="0.2">
      <c r="A725" s="27"/>
      <c r="B725" s="52"/>
      <c r="C725" s="27"/>
      <c r="D725" s="53"/>
      <c r="E725" s="53"/>
      <c r="F725" s="53"/>
    </row>
    <row r="726" spans="1:6" x14ac:dyDescent="0.2">
      <c r="A726" s="27"/>
      <c r="B726" s="52"/>
      <c r="C726" s="27"/>
      <c r="D726" s="53"/>
      <c r="E726" s="53"/>
      <c r="F726" s="53"/>
    </row>
    <row r="727" spans="1:6" x14ac:dyDescent="0.2">
      <c r="A727" s="27"/>
      <c r="B727" s="52"/>
      <c r="C727" s="27"/>
      <c r="D727" s="53"/>
      <c r="E727" s="53"/>
      <c r="F727" s="53"/>
    </row>
    <row r="728" spans="1:6" x14ac:dyDescent="0.2">
      <c r="A728" s="27"/>
      <c r="B728" s="52"/>
      <c r="C728" s="27"/>
      <c r="D728" s="53"/>
      <c r="E728" s="53"/>
      <c r="F728" s="53"/>
    </row>
    <row r="729" spans="1:6" x14ac:dyDescent="0.2">
      <c r="A729" s="27"/>
      <c r="B729" s="52"/>
      <c r="C729" s="27"/>
      <c r="D729" s="53"/>
      <c r="E729" s="53"/>
      <c r="F729" s="53"/>
    </row>
    <row r="730" spans="1:6" x14ac:dyDescent="0.2">
      <c r="A730" s="27"/>
      <c r="B730" s="52"/>
      <c r="C730" s="27"/>
      <c r="D730" s="53"/>
      <c r="E730" s="53"/>
      <c r="F730" s="53"/>
    </row>
    <row r="731" spans="1:6" x14ac:dyDescent="0.2">
      <c r="A731" s="27"/>
      <c r="B731" s="52"/>
      <c r="C731" s="27"/>
      <c r="D731" s="53"/>
      <c r="E731" s="53"/>
      <c r="F731" s="53"/>
    </row>
    <row r="732" spans="1:6" x14ac:dyDescent="0.2">
      <c r="A732" s="27"/>
      <c r="B732" s="52"/>
      <c r="C732" s="27"/>
      <c r="D732" s="53"/>
      <c r="E732" s="53"/>
      <c r="F732" s="53"/>
    </row>
    <row r="733" spans="1:6" x14ac:dyDescent="0.2">
      <c r="A733" s="27"/>
      <c r="B733" s="52"/>
      <c r="C733" s="27"/>
      <c r="D733" s="53"/>
      <c r="E733" s="53"/>
      <c r="F733" s="53"/>
    </row>
    <row r="734" spans="1:6" x14ac:dyDescent="0.2">
      <c r="A734" s="27"/>
      <c r="B734" s="52"/>
      <c r="C734" s="27"/>
      <c r="D734" s="53"/>
      <c r="E734" s="53"/>
      <c r="F734" s="53"/>
    </row>
    <row r="735" spans="1:6" x14ac:dyDescent="0.2">
      <c r="A735" s="27"/>
      <c r="B735" s="52"/>
      <c r="C735" s="27"/>
      <c r="D735" s="53"/>
      <c r="E735" s="53"/>
      <c r="F735" s="53"/>
    </row>
    <row r="736" spans="1:6" x14ac:dyDescent="0.2">
      <c r="A736" s="27"/>
      <c r="B736" s="52"/>
      <c r="C736" s="27"/>
      <c r="D736" s="53"/>
      <c r="E736" s="53"/>
      <c r="F736" s="53"/>
    </row>
    <row r="737" spans="1:6" x14ac:dyDescent="0.2">
      <c r="A737" s="27"/>
      <c r="B737" s="52"/>
      <c r="C737" s="27"/>
      <c r="D737" s="53"/>
      <c r="E737" s="53"/>
      <c r="F737" s="53"/>
    </row>
    <row r="738" spans="1:6" x14ac:dyDescent="0.2">
      <c r="A738" s="27"/>
      <c r="B738" s="52"/>
      <c r="C738" s="27"/>
      <c r="D738" s="53"/>
      <c r="E738" s="53"/>
      <c r="F738" s="53"/>
    </row>
    <row r="739" spans="1:6" x14ac:dyDescent="0.2">
      <c r="A739" s="27"/>
      <c r="B739" s="52"/>
      <c r="C739" s="27"/>
      <c r="D739" s="53"/>
      <c r="E739" s="53"/>
      <c r="F739" s="53"/>
    </row>
    <row r="740" spans="1:6" x14ac:dyDescent="0.2">
      <c r="A740" s="27"/>
      <c r="B740" s="52"/>
      <c r="C740" s="27"/>
      <c r="D740" s="53"/>
      <c r="E740" s="53"/>
      <c r="F740" s="53"/>
    </row>
    <row r="741" spans="1:6" x14ac:dyDescent="0.2">
      <c r="A741" s="27"/>
      <c r="B741" s="52"/>
      <c r="C741" s="27"/>
      <c r="D741" s="53"/>
      <c r="E741" s="53"/>
      <c r="F741" s="53"/>
    </row>
    <row r="742" spans="1:6" x14ac:dyDescent="0.2">
      <c r="A742" s="27"/>
      <c r="B742" s="52"/>
      <c r="C742" s="27"/>
      <c r="D742" s="53"/>
      <c r="E742" s="53"/>
      <c r="F742" s="53"/>
    </row>
    <row r="743" spans="1:6" x14ac:dyDescent="0.2">
      <c r="A743" s="27"/>
      <c r="B743" s="52"/>
      <c r="C743" s="27"/>
      <c r="D743" s="53"/>
      <c r="E743" s="53"/>
      <c r="F743" s="53"/>
    </row>
    <row r="744" spans="1:6" x14ac:dyDescent="0.2">
      <c r="A744" s="27"/>
      <c r="B744" s="52"/>
      <c r="C744" s="27"/>
      <c r="D744" s="53"/>
      <c r="E744" s="53"/>
      <c r="F744" s="53"/>
    </row>
    <row r="745" spans="1:6" x14ac:dyDescent="0.2">
      <c r="A745" s="27"/>
      <c r="B745" s="52"/>
      <c r="C745" s="27"/>
      <c r="D745" s="53"/>
      <c r="E745" s="53"/>
      <c r="F745" s="53"/>
    </row>
    <row r="746" spans="1:6" x14ac:dyDescent="0.2">
      <c r="A746" s="27"/>
      <c r="B746" s="52"/>
      <c r="C746" s="27"/>
      <c r="D746" s="53"/>
      <c r="E746" s="53"/>
      <c r="F746" s="53"/>
    </row>
    <row r="747" spans="1:6" x14ac:dyDescent="0.2">
      <c r="A747" s="27"/>
      <c r="B747" s="52"/>
      <c r="C747" s="27"/>
      <c r="D747" s="53"/>
      <c r="E747" s="53"/>
      <c r="F747" s="53"/>
    </row>
    <row r="748" spans="1:6" x14ac:dyDescent="0.2">
      <c r="A748" s="27"/>
      <c r="B748" s="52"/>
      <c r="C748" s="27"/>
      <c r="D748" s="53"/>
      <c r="E748" s="53"/>
      <c r="F748" s="53"/>
    </row>
    <row r="749" spans="1:6" x14ac:dyDescent="0.2">
      <c r="A749" s="27"/>
      <c r="B749" s="52"/>
      <c r="C749" s="27"/>
      <c r="D749" s="53"/>
      <c r="E749" s="53"/>
      <c r="F749" s="53"/>
    </row>
    <row r="750" spans="1:6" x14ac:dyDescent="0.2">
      <c r="A750" s="27"/>
      <c r="B750" s="52"/>
      <c r="C750" s="27"/>
      <c r="D750" s="53"/>
      <c r="E750" s="53"/>
      <c r="F750" s="53"/>
    </row>
    <row r="751" spans="1:6" x14ac:dyDescent="0.2">
      <c r="A751" s="27"/>
      <c r="B751" s="52"/>
      <c r="C751" s="27"/>
      <c r="D751" s="53"/>
      <c r="E751" s="53"/>
      <c r="F751" s="53"/>
    </row>
    <row r="752" spans="1:6" x14ac:dyDescent="0.2">
      <c r="A752" s="27"/>
      <c r="B752" s="52"/>
      <c r="C752" s="27"/>
      <c r="D752" s="53"/>
      <c r="E752" s="53"/>
      <c r="F752" s="53"/>
    </row>
    <row r="753" spans="1:6" x14ac:dyDescent="0.2">
      <c r="A753" s="27"/>
      <c r="B753" s="52"/>
      <c r="C753" s="27"/>
      <c r="D753" s="53"/>
      <c r="E753" s="53"/>
      <c r="F753" s="53"/>
    </row>
    <row r="754" spans="1:6" x14ac:dyDescent="0.2">
      <c r="A754" s="27"/>
      <c r="B754" s="52"/>
      <c r="C754" s="27"/>
      <c r="D754" s="53"/>
      <c r="E754" s="53"/>
      <c r="F754" s="53"/>
    </row>
    <row r="755" spans="1:6" x14ac:dyDescent="0.2">
      <c r="A755" s="27"/>
      <c r="B755" s="52"/>
      <c r="C755" s="27"/>
      <c r="D755" s="53"/>
      <c r="E755" s="53"/>
      <c r="F755" s="53"/>
    </row>
    <row r="756" spans="1:6" x14ac:dyDescent="0.2">
      <c r="A756" s="27"/>
      <c r="B756" s="52"/>
      <c r="C756" s="27"/>
      <c r="D756" s="53"/>
      <c r="E756" s="53"/>
      <c r="F756" s="53"/>
    </row>
    <row r="757" spans="1:6" x14ac:dyDescent="0.2">
      <c r="A757" s="27"/>
      <c r="B757" s="52"/>
      <c r="C757" s="27"/>
      <c r="D757" s="53"/>
      <c r="E757" s="53"/>
      <c r="F757" s="53"/>
    </row>
    <row r="758" spans="1:6" x14ac:dyDescent="0.2">
      <c r="A758" s="27"/>
      <c r="B758" s="52"/>
      <c r="C758" s="27"/>
      <c r="D758" s="53"/>
      <c r="E758" s="53"/>
      <c r="F758" s="53"/>
    </row>
    <row r="759" spans="1:6" x14ac:dyDescent="0.2">
      <c r="A759" s="27"/>
      <c r="B759" s="52"/>
      <c r="C759" s="27"/>
      <c r="D759" s="53"/>
      <c r="E759" s="53"/>
      <c r="F759" s="53"/>
    </row>
    <row r="760" spans="1:6" x14ac:dyDescent="0.2">
      <c r="A760" s="27"/>
      <c r="B760" s="52"/>
      <c r="C760" s="27"/>
      <c r="D760" s="53"/>
      <c r="E760" s="53"/>
      <c r="F760" s="53"/>
    </row>
    <row r="761" spans="1:6" x14ac:dyDescent="0.2">
      <c r="A761" s="27"/>
      <c r="B761" s="52"/>
      <c r="C761" s="27"/>
      <c r="D761" s="53"/>
      <c r="E761" s="53"/>
      <c r="F761" s="53"/>
    </row>
    <row r="762" spans="1:6" x14ac:dyDescent="0.2">
      <c r="A762" s="27"/>
      <c r="B762" s="52"/>
      <c r="C762" s="27"/>
      <c r="D762" s="53"/>
      <c r="E762" s="53"/>
      <c r="F762" s="53"/>
    </row>
    <row r="763" spans="1:6" x14ac:dyDescent="0.2">
      <c r="A763" s="27"/>
      <c r="B763" s="52"/>
      <c r="C763" s="27"/>
      <c r="D763" s="53"/>
      <c r="E763" s="53"/>
      <c r="F763" s="53"/>
    </row>
    <row r="764" spans="1:6" x14ac:dyDescent="0.2">
      <c r="A764" s="27"/>
      <c r="B764" s="52"/>
      <c r="C764" s="27"/>
      <c r="D764" s="53"/>
      <c r="E764" s="53"/>
      <c r="F764" s="53"/>
    </row>
    <row r="765" spans="1:6" x14ac:dyDescent="0.2">
      <c r="A765" s="27"/>
      <c r="B765" s="52"/>
      <c r="C765" s="27"/>
      <c r="D765" s="53"/>
      <c r="E765" s="53"/>
      <c r="F765" s="53"/>
    </row>
    <row r="766" spans="1:6" x14ac:dyDescent="0.2">
      <c r="A766" s="27"/>
      <c r="B766" s="52"/>
      <c r="C766" s="27"/>
      <c r="D766" s="53"/>
      <c r="E766" s="53"/>
      <c r="F766" s="53"/>
    </row>
    <row r="767" spans="1:6" x14ac:dyDescent="0.2">
      <c r="A767" s="27"/>
      <c r="B767" s="52"/>
      <c r="C767" s="27"/>
      <c r="D767" s="53"/>
      <c r="E767" s="53"/>
      <c r="F767" s="53"/>
    </row>
    <row r="768" spans="1:6" x14ac:dyDescent="0.2">
      <c r="A768" s="27"/>
      <c r="B768" s="52"/>
      <c r="C768" s="27"/>
      <c r="D768" s="53"/>
      <c r="E768" s="53"/>
      <c r="F768" s="53"/>
    </row>
    <row r="769" spans="1:6" x14ac:dyDescent="0.2">
      <c r="A769" s="27"/>
      <c r="B769" s="52"/>
      <c r="C769" s="27"/>
      <c r="D769" s="53"/>
      <c r="E769" s="53"/>
      <c r="F769" s="53"/>
    </row>
    <row r="770" spans="1:6" x14ac:dyDescent="0.2">
      <c r="A770" s="27"/>
      <c r="B770" s="52"/>
      <c r="C770" s="27"/>
      <c r="D770" s="53"/>
      <c r="E770" s="53"/>
      <c r="F770" s="53"/>
    </row>
    <row r="771" spans="1:6" x14ac:dyDescent="0.2">
      <c r="A771" s="27"/>
      <c r="B771" s="52"/>
      <c r="C771" s="27"/>
      <c r="D771" s="53"/>
      <c r="E771" s="53"/>
      <c r="F771" s="53"/>
    </row>
    <row r="772" spans="1:6" x14ac:dyDescent="0.2">
      <c r="A772" s="27"/>
      <c r="B772" s="52"/>
      <c r="C772" s="27"/>
      <c r="D772" s="53"/>
      <c r="E772" s="53"/>
      <c r="F772" s="53"/>
    </row>
    <row r="773" spans="1:6" x14ac:dyDescent="0.2">
      <c r="A773" s="27"/>
      <c r="B773" s="52"/>
      <c r="C773" s="27"/>
      <c r="D773" s="53"/>
      <c r="E773" s="53"/>
      <c r="F773" s="53"/>
    </row>
    <row r="774" spans="1:6" x14ac:dyDescent="0.2">
      <c r="A774" s="27"/>
      <c r="B774" s="52"/>
      <c r="C774" s="27"/>
      <c r="D774" s="53"/>
      <c r="E774" s="53"/>
      <c r="F774" s="53"/>
    </row>
    <row r="775" spans="1:6" x14ac:dyDescent="0.2">
      <c r="A775" s="27"/>
      <c r="B775" s="52"/>
      <c r="C775" s="27"/>
      <c r="D775" s="53"/>
      <c r="E775" s="53"/>
      <c r="F775" s="53"/>
    </row>
    <row r="776" spans="1:6" x14ac:dyDescent="0.2">
      <c r="A776" s="27"/>
      <c r="B776" s="52"/>
      <c r="C776" s="27"/>
      <c r="D776" s="53"/>
      <c r="E776" s="53"/>
      <c r="F776" s="53"/>
    </row>
    <row r="777" spans="1:6" x14ac:dyDescent="0.2">
      <c r="A777" s="27"/>
      <c r="B777" s="52"/>
      <c r="C777" s="27"/>
      <c r="D777" s="53"/>
      <c r="E777" s="53"/>
      <c r="F777" s="53"/>
    </row>
    <row r="778" spans="1:6" x14ac:dyDescent="0.2">
      <c r="A778" s="27"/>
      <c r="B778" s="52"/>
      <c r="C778" s="27"/>
      <c r="D778" s="53"/>
      <c r="E778" s="53"/>
      <c r="F778" s="53"/>
    </row>
    <row r="779" spans="1:6" x14ac:dyDescent="0.2">
      <c r="A779" s="27"/>
      <c r="B779" s="52"/>
      <c r="C779" s="27"/>
      <c r="D779" s="53"/>
      <c r="E779" s="53"/>
      <c r="F779" s="53"/>
    </row>
    <row r="780" spans="1:6" x14ac:dyDescent="0.2">
      <c r="A780" s="27"/>
      <c r="B780" s="52"/>
      <c r="C780" s="27"/>
      <c r="D780" s="53"/>
      <c r="E780" s="53"/>
      <c r="F780" s="53"/>
    </row>
    <row r="781" spans="1:6" x14ac:dyDescent="0.2">
      <c r="A781" s="27"/>
      <c r="B781" s="52"/>
      <c r="C781" s="27"/>
      <c r="D781" s="53"/>
      <c r="E781" s="53"/>
      <c r="F781" s="53"/>
    </row>
    <row r="782" spans="1:6" x14ac:dyDescent="0.2">
      <c r="A782" s="27"/>
      <c r="B782" s="52"/>
      <c r="C782" s="27"/>
      <c r="D782" s="53"/>
      <c r="E782" s="53"/>
      <c r="F782" s="53"/>
    </row>
    <row r="783" spans="1:6" x14ac:dyDescent="0.2">
      <c r="A783" s="27"/>
      <c r="B783" s="52"/>
      <c r="C783" s="27"/>
      <c r="D783" s="53"/>
      <c r="E783" s="53"/>
      <c r="F783" s="53"/>
    </row>
    <row r="784" spans="1:6" x14ac:dyDescent="0.2">
      <c r="A784" s="27"/>
      <c r="B784" s="52"/>
      <c r="C784" s="27"/>
      <c r="D784" s="53"/>
      <c r="E784" s="53"/>
      <c r="F784" s="53"/>
    </row>
    <row r="785" spans="1:6" x14ac:dyDescent="0.2">
      <c r="A785" s="27"/>
      <c r="B785" s="52"/>
      <c r="C785" s="27"/>
      <c r="D785" s="53"/>
      <c r="E785" s="53"/>
      <c r="F785" s="53"/>
    </row>
    <row r="786" spans="1:6" x14ac:dyDescent="0.2">
      <c r="A786" s="27"/>
      <c r="B786" s="52"/>
      <c r="C786" s="27"/>
      <c r="D786" s="53"/>
      <c r="E786" s="53"/>
      <c r="F786" s="53"/>
    </row>
    <row r="787" spans="1:6" x14ac:dyDescent="0.2">
      <c r="A787" s="27"/>
      <c r="B787" s="52"/>
      <c r="C787" s="27"/>
      <c r="D787" s="53"/>
      <c r="E787" s="53"/>
      <c r="F787" s="53"/>
    </row>
    <row r="788" spans="1:6" x14ac:dyDescent="0.2">
      <c r="A788" s="27"/>
      <c r="B788" s="52"/>
      <c r="C788" s="27"/>
      <c r="D788" s="53"/>
      <c r="E788" s="53"/>
      <c r="F788" s="53"/>
    </row>
    <row r="789" spans="1:6" x14ac:dyDescent="0.2">
      <c r="A789" s="27"/>
      <c r="B789" s="52"/>
      <c r="C789" s="27"/>
      <c r="D789" s="53"/>
      <c r="E789" s="53"/>
      <c r="F789" s="53"/>
    </row>
    <row r="790" spans="1:6" x14ac:dyDescent="0.2">
      <c r="A790" s="27"/>
      <c r="B790" s="52"/>
      <c r="C790" s="27"/>
      <c r="D790" s="53"/>
      <c r="E790" s="53"/>
      <c r="F790" s="53"/>
    </row>
    <row r="791" spans="1:6" x14ac:dyDescent="0.2">
      <c r="A791" s="27"/>
      <c r="B791" s="52"/>
      <c r="C791" s="27"/>
      <c r="D791" s="53"/>
      <c r="E791" s="53"/>
      <c r="F791" s="53"/>
    </row>
    <row r="792" spans="1:6" x14ac:dyDescent="0.2">
      <c r="A792" s="27"/>
      <c r="B792" s="52"/>
      <c r="C792" s="27"/>
      <c r="D792" s="53"/>
      <c r="E792" s="53"/>
      <c r="F792" s="53"/>
    </row>
    <row r="793" spans="1:6" x14ac:dyDescent="0.2">
      <c r="A793" s="27"/>
      <c r="B793" s="52"/>
      <c r="C793" s="27"/>
      <c r="D793" s="53"/>
      <c r="E793" s="53"/>
      <c r="F793" s="53"/>
    </row>
    <row r="794" spans="1:6" x14ac:dyDescent="0.2">
      <c r="A794" s="27"/>
      <c r="B794" s="52"/>
      <c r="C794" s="27"/>
      <c r="D794" s="53"/>
      <c r="E794" s="53"/>
      <c r="F794" s="53"/>
    </row>
    <row r="795" spans="1:6" x14ac:dyDescent="0.2">
      <c r="A795" s="27"/>
      <c r="B795" s="52"/>
      <c r="C795" s="27"/>
      <c r="D795" s="53"/>
      <c r="E795" s="53"/>
      <c r="F795" s="53"/>
    </row>
    <row r="796" spans="1:6" x14ac:dyDescent="0.2">
      <c r="A796" s="27"/>
      <c r="B796" s="52"/>
      <c r="C796" s="27"/>
      <c r="D796" s="53"/>
      <c r="E796" s="53"/>
      <c r="F796" s="53"/>
    </row>
    <row r="797" spans="1:6" x14ac:dyDescent="0.2">
      <c r="A797" s="27"/>
      <c r="B797" s="52"/>
      <c r="C797" s="27"/>
      <c r="D797" s="53"/>
      <c r="E797" s="53"/>
      <c r="F797" s="53"/>
    </row>
    <row r="798" spans="1:6" x14ac:dyDescent="0.2">
      <c r="A798" s="27"/>
      <c r="B798" s="52"/>
      <c r="C798" s="27"/>
      <c r="D798" s="53"/>
      <c r="E798" s="53"/>
      <c r="F798" s="53"/>
    </row>
    <row r="799" spans="1:6" x14ac:dyDescent="0.2">
      <c r="A799" s="27"/>
      <c r="B799" s="52"/>
      <c r="C799" s="27"/>
      <c r="D799" s="53"/>
      <c r="E799" s="53"/>
      <c r="F799" s="53"/>
    </row>
    <row r="800" spans="1:6" x14ac:dyDescent="0.2">
      <c r="A800" s="27"/>
      <c r="B800" s="52"/>
      <c r="C800" s="27"/>
      <c r="D800" s="53"/>
      <c r="E800" s="53"/>
      <c r="F800" s="53"/>
    </row>
    <row r="801" spans="1:6" x14ac:dyDescent="0.2">
      <c r="A801" s="27"/>
      <c r="B801" s="52"/>
      <c r="C801" s="27"/>
      <c r="D801" s="53"/>
      <c r="E801" s="53"/>
      <c r="F801" s="53"/>
    </row>
    <row r="802" spans="1:6" x14ac:dyDescent="0.2">
      <c r="A802" s="27"/>
      <c r="B802" s="52"/>
      <c r="C802" s="27"/>
      <c r="D802" s="53"/>
      <c r="E802" s="53"/>
      <c r="F802" s="53"/>
    </row>
    <row r="803" spans="1:6" x14ac:dyDescent="0.2">
      <c r="A803" s="27"/>
      <c r="B803" s="52"/>
      <c r="C803" s="27"/>
      <c r="D803" s="53"/>
      <c r="E803" s="53"/>
      <c r="F803" s="53"/>
    </row>
    <row r="804" spans="1:6" x14ac:dyDescent="0.2">
      <c r="A804" s="27"/>
      <c r="B804" s="52"/>
      <c r="C804" s="27"/>
      <c r="D804" s="53"/>
      <c r="E804" s="53"/>
      <c r="F804" s="53"/>
    </row>
    <row r="805" spans="1:6" x14ac:dyDescent="0.2">
      <c r="A805" s="27"/>
      <c r="B805" s="52"/>
      <c r="C805" s="27"/>
      <c r="D805" s="53"/>
      <c r="E805" s="53"/>
      <c r="F805" s="53"/>
    </row>
    <row r="806" spans="1:6" x14ac:dyDescent="0.2">
      <c r="A806" s="27"/>
      <c r="B806" s="52"/>
      <c r="C806" s="27"/>
      <c r="D806" s="53"/>
      <c r="E806" s="53"/>
      <c r="F806" s="53"/>
    </row>
    <row r="807" spans="1:6" x14ac:dyDescent="0.2">
      <c r="A807" s="27"/>
      <c r="B807" s="52"/>
      <c r="C807" s="27"/>
      <c r="D807" s="53"/>
      <c r="E807" s="53"/>
      <c r="F807" s="53"/>
    </row>
    <row r="808" spans="1:6" x14ac:dyDescent="0.2">
      <c r="A808" s="27"/>
      <c r="B808" s="52"/>
      <c r="C808" s="27"/>
      <c r="D808" s="53"/>
      <c r="E808" s="53"/>
      <c r="F808" s="53"/>
    </row>
    <row r="809" spans="1:6" x14ac:dyDescent="0.2">
      <c r="A809" s="27"/>
      <c r="B809" s="52"/>
      <c r="C809" s="27"/>
      <c r="D809" s="53"/>
      <c r="E809" s="53"/>
      <c r="F809" s="53"/>
    </row>
    <row r="810" spans="1:6" x14ac:dyDescent="0.2">
      <c r="A810" s="27"/>
      <c r="B810" s="52"/>
      <c r="C810" s="27"/>
      <c r="D810" s="53"/>
      <c r="E810" s="53"/>
      <c r="F810" s="53"/>
    </row>
    <row r="811" spans="1:6" x14ac:dyDescent="0.2">
      <c r="A811" s="27"/>
      <c r="B811" s="52"/>
      <c r="C811" s="27"/>
      <c r="D811" s="53"/>
      <c r="E811" s="53"/>
      <c r="F811" s="53"/>
    </row>
    <row r="812" spans="1:6" x14ac:dyDescent="0.2">
      <c r="A812" s="27"/>
      <c r="B812" s="52"/>
      <c r="C812" s="27"/>
      <c r="D812" s="53"/>
      <c r="E812" s="53"/>
      <c r="F812" s="53"/>
    </row>
    <row r="813" spans="1:6" x14ac:dyDescent="0.2">
      <c r="A813" s="27"/>
      <c r="B813" s="52"/>
      <c r="C813" s="27"/>
      <c r="D813" s="53"/>
      <c r="E813" s="53"/>
      <c r="F813" s="53"/>
    </row>
    <row r="814" spans="1:6" x14ac:dyDescent="0.2">
      <c r="A814" s="27"/>
      <c r="B814" s="52"/>
      <c r="C814" s="27"/>
      <c r="D814" s="53"/>
      <c r="E814" s="53"/>
      <c r="F814" s="53"/>
    </row>
    <row r="815" spans="1:6" x14ac:dyDescent="0.2">
      <c r="A815" s="27"/>
      <c r="B815" s="52"/>
      <c r="C815" s="27"/>
      <c r="D815" s="53"/>
      <c r="E815" s="53"/>
      <c r="F815" s="53"/>
    </row>
    <row r="816" spans="1:6" x14ac:dyDescent="0.2">
      <c r="A816" s="27"/>
      <c r="B816" s="52"/>
      <c r="C816" s="27"/>
      <c r="D816" s="53"/>
      <c r="E816" s="53"/>
      <c r="F816" s="53"/>
    </row>
    <row r="817" spans="1:6" x14ac:dyDescent="0.2">
      <c r="A817" s="27"/>
      <c r="B817" s="52"/>
      <c r="C817" s="27"/>
      <c r="D817" s="53"/>
      <c r="E817" s="53"/>
      <c r="F817" s="53"/>
    </row>
    <row r="818" spans="1:6" x14ac:dyDescent="0.2">
      <c r="A818" s="27"/>
      <c r="B818" s="52"/>
      <c r="C818" s="27"/>
      <c r="D818" s="53"/>
      <c r="E818" s="53"/>
      <c r="F818" s="53"/>
    </row>
    <row r="819" spans="1:6" x14ac:dyDescent="0.2">
      <c r="A819" s="27"/>
      <c r="B819" s="52"/>
      <c r="C819" s="27"/>
      <c r="D819" s="53"/>
      <c r="E819" s="53"/>
      <c r="F819" s="53"/>
    </row>
    <row r="820" spans="1:6" x14ac:dyDescent="0.2">
      <c r="A820" s="27"/>
      <c r="B820" s="52"/>
      <c r="C820" s="27"/>
      <c r="D820" s="53"/>
      <c r="E820" s="53"/>
      <c r="F820" s="53"/>
    </row>
    <row r="821" spans="1:6" x14ac:dyDescent="0.2">
      <c r="A821" s="27"/>
      <c r="B821" s="52"/>
      <c r="C821" s="27"/>
      <c r="D821" s="53"/>
      <c r="E821" s="53"/>
      <c r="F821" s="53"/>
    </row>
    <row r="822" spans="1:6" x14ac:dyDescent="0.2">
      <c r="A822" s="27"/>
      <c r="B822" s="52"/>
      <c r="C822" s="27"/>
      <c r="D822" s="53"/>
      <c r="E822" s="53"/>
      <c r="F822" s="53"/>
    </row>
    <row r="823" spans="1:6" x14ac:dyDescent="0.2">
      <c r="A823" s="27"/>
      <c r="B823" s="52"/>
      <c r="C823" s="27"/>
      <c r="D823" s="53"/>
      <c r="E823" s="53"/>
      <c r="F823" s="53"/>
    </row>
    <row r="824" spans="1:6" x14ac:dyDescent="0.2">
      <c r="A824" s="27"/>
      <c r="B824" s="52"/>
      <c r="C824" s="27"/>
      <c r="D824" s="53"/>
      <c r="E824" s="53"/>
      <c r="F824" s="53"/>
    </row>
    <row r="825" spans="1:6" x14ac:dyDescent="0.2">
      <c r="A825" s="27"/>
      <c r="B825" s="52"/>
      <c r="C825" s="27"/>
      <c r="D825" s="53"/>
      <c r="E825" s="53"/>
      <c r="F825" s="53"/>
    </row>
    <row r="826" spans="1:6" x14ac:dyDescent="0.2">
      <c r="A826" s="27"/>
      <c r="B826" s="52"/>
      <c r="C826" s="27"/>
      <c r="D826" s="53"/>
      <c r="E826" s="53"/>
      <c r="F826" s="53"/>
    </row>
    <row r="827" spans="1:6" x14ac:dyDescent="0.2">
      <c r="A827" s="27"/>
      <c r="B827" s="52"/>
      <c r="C827" s="27"/>
      <c r="D827" s="53"/>
      <c r="E827" s="53"/>
      <c r="F827" s="53"/>
    </row>
    <row r="828" spans="1:6" x14ac:dyDescent="0.2">
      <c r="A828" s="27"/>
      <c r="B828" s="52"/>
      <c r="C828" s="27"/>
      <c r="D828" s="53"/>
      <c r="E828" s="53"/>
      <c r="F828" s="53"/>
    </row>
    <row r="829" spans="1:6" x14ac:dyDescent="0.2">
      <c r="A829" s="27"/>
      <c r="B829" s="52"/>
      <c r="C829" s="27"/>
      <c r="D829" s="53"/>
      <c r="E829" s="53"/>
      <c r="F829" s="53"/>
    </row>
    <row r="830" spans="1:6" x14ac:dyDescent="0.2">
      <c r="A830" s="27"/>
      <c r="B830" s="52"/>
      <c r="C830" s="27"/>
      <c r="D830" s="53"/>
      <c r="E830" s="53"/>
      <c r="F830" s="53"/>
    </row>
    <row r="831" spans="1:6" x14ac:dyDescent="0.2">
      <c r="A831" s="27"/>
      <c r="B831" s="52"/>
      <c r="C831" s="27"/>
      <c r="D831" s="53"/>
      <c r="E831" s="53"/>
      <c r="F831" s="53"/>
    </row>
    <row r="832" spans="1:6" x14ac:dyDescent="0.2">
      <c r="A832" s="27"/>
      <c r="B832" s="52"/>
      <c r="C832" s="27"/>
      <c r="D832" s="53"/>
      <c r="E832" s="53"/>
      <c r="F832" s="53"/>
    </row>
    <row r="833" spans="1:6" x14ac:dyDescent="0.2">
      <c r="A833" s="27"/>
      <c r="B833" s="52"/>
      <c r="C833" s="27"/>
      <c r="D833" s="53"/>
      <c r="E833" s="53"/>
      <c r="F833" s="53"/>
    </row>
    <row r="834" spans="1:6" x14ac:dyDescent="0.2">
      <c r="A834" s="27"/>
      <c r="B834" s="52"/>
      <c r="C834" s="27"/>
      <c r="D834" s="53"/>
      <c r="E834" s="53"/>
      <c r="F834" s="53"/>
    </row>
    <row r="835" spans="1:6" x14ac:dyDescent="0.2">
      <c r="A835" s="27"/>
      <c r="B835" s="52"/>
      <c r="C835" s="27"/>
      <c r="D835" s="53"/>
      <c r="E835" s="53"/>
      <c r="F835" s="53"/>
    </row>
    <row r="836" spans="1:6" x14ac:dyDescent="0.2">
      <c r="A836" s="27"/>
      <c r="B836" s="52"/>
      <c r="C836" s="27"/>
      <c r="D836" s="53"/>
      <c r="E836" s="53"/>
      <c r="F836" s="53"/>
    </row>
    <row r="837" spans="1:6" x14ac:dyDescent="0.2">
      <c r="A837" s="27"/>
      <c r="B837" s="52"/>
      <c r="C837" s="27"/>
      <c r="D837" s="53"/>
      <c r="E837" s="53"/>
      <c r="F837" s="53"/>
    </row>
    <row r="838" spans="1:6" x14ac:dyDescent="0.2">
      <c r="A838" s="27"/>
      <c r="B838" s="52"/>
      <c r="C838" s="27"/>
      <c r="D838" s="53"/>
      <c r="E838" s="53"/>
      <c r="F838" s="53"/>
    </row>
    <row r="839" spans="1:6" x14ac:dyDescent="0.2">
      <c r="A839" s="27"/>
      <c r="B839" s="52"/>
      <c r="C839" s="27"/>
      <c r="D839" s="53"/>
      <c r="E839" s="53"/>
      <c r="F839" s="53"/>
    </row>
    <row r="840" spans="1:6" x14ac:dyDescent="0.2">
      <c r="A840" s="27"/>
      <c r="B840" s="52"/>
      <c r="C840" s="27"/>
      <c r="D840" s="53"/>
      <c r="E840" s="53"/>
      <c r="F840" s="53"/>
    </row>
    <row r="841" spans="1:6" x14ac:dyDescent="0.2">
      <c r="A841" s="27"/>
      <c r="B841" s="52"/>
      <c r="C841" s="27"/>
      <c r="D841" s="53"/>
      <c r="E841" s="53"/>
      <c r="F841" s="53"/>
    </row>
    <row r="842" spans="1:6" x14ac:dyDescent="0.2">
      <c r="A842" s="27"/>
      <c r="B842" s="52"/>
      <c r="C842" s="27"/>
      <c r="D842" s="53"/>
      <c r="E842" s="53"/>
      <c r="F842" s="53"/>
    </row>
    <row r="843" spans="1:6" x14ac:dyDescent="0.2">
      <c r="A843" s="27"/>
      <c r="B843" s="52"/>
      <c r="C843" s="27"/>
      <c r="D843" s="53"/>
      <c r="E843" s="53"/>
      <c r="F843" s="53"/>
    </row>
    <row r="844" spans="1:6" x14ac:dyDescent="0.2">
      <c r="A844" s="27"/>
      <c r="B844" s="52"/>
      <c r="C844" s="27"/>
      <c r="D844" s="53"/>
      <c r="E844" s="53"/>
      <c r="F844" s="53"/>
    </row>
    <row r="845" spans="1:6" x14ac:dyDescent="0.2">
      <c r="A845" s="27"/>
      <c r="B845" s="52"/>
      <c r="C845" s="27"/>
      <c r="D845" s="53"/>
      <c r="E845" s="53"/>
      <c r="F845" s="53"/>
    </row>
    <row r="846" spans="1:6" x14ac:dyDescent="0.2">
      <c r="A846" s="27"/>
      <c r="B846" s="52"/>
      <c r="C846" s="27"/>
      <c r="D846" s="53"/>
      <c r="E846" s="53"/>
      <c r="F846" s="53"/>
    </row>
    <row r="847" spans="1:6" x14ac:dyDescent="0.2">
      <c r="A847" s="27"/>
      <c r="B847" s="52"/>
      <c r="C847" s="27"/>
      <c r="D847" s="53"/>
      <c r="E847" s="53"/>
      <c r="F847" s="53"/>
    </row>
    <row r="848" spans="1:6" x14ac:dyDescent="0.2">
      <c r="A848" s="27"/>
      <c r="B848" s="52"/>
      <c r="C848" s="27"/>
      <c r="D848" s="53"/>
      <c r="E848" s="53"/>
      <c r="F848" s="53"/>
    </row>
    <row r="849" spans="1:6" x14ac:dyDescent="0.2">
      <c r="A849" s="27"/>
      <c r="B849" s="52"/>
      <c r="C849" s="27"/>
      <c r="D849" s="53"/>
      <c r="E849" s="53"/>
      <c r="F849" s="53"/>
    </row>
    <row r="850" spans="1:6" x14ac:dyDescent="0.2">
      <c r="A850" s="27"/>
      <c r="B850" s="52"/>
      <c r="C850" s="27"/>
      <c r="D850" s="53"/>
      <c r="E850" s="53"/>
      <c r="F850" s="53"/>
    </row>
    <row r="851" spans="1:6" x14ac:dyDescent="0.2">
      <c r="A851" s="27"/>
      <c r="B851" s="52"/>
      <c r="C851" s="27"/>
      <c r="D851" s="53"/>
      <c r="E851" s="53"/>
      <c r="F851" s="53"/>
    </row>
    <row r="852" spans="1:6" x14ac:dyDescent="0.2">
      <c r="A852" s="27"/>
      <c r="B852" s="52"/>
      <c r="C852" s="27"/>
      <c r="D852" s="53"/>
      <c r="E852" s="53"/>
      <c r="F852" s="53"/>
    </row>
    <row r="853" spans="1:6" x14ac:dyDescent="0.2">
      <c r="A853" s="27"/>
      <c r="B853" s="52"/>
      <c r="C853" s="27"/>
      <c r="D853" s="53"/>
      <c r="E853" s="53"/>
      <c r="F853" s="53"/>
    </row>
    <row r="854" spans="1:6" x14ac:dyDescent="0.2">
      <c r="A854" s="27"/>
      <c r="B854" s="52"/>
      <c r="C854" s="27"/>
      <c r="D854" s="53"/>
      <c r="E854" s="53"/>
      <c r="F854" s="53"/>
    </row>
    <row r="855" spans="1:6" x14ac:dyDescent="0.2">
      <c r="A855" s="27"/>
      <c r="B855" s="52"/>
      <c r="C855" s="27"/>
      <c r="D855" s="53"/>
      <c r="E855" s="53"/>
      <c r="F855" s="53"/>
    </row>
    <row r="856" spans="1:6" x14ac:dyDescent="0.2">
      <c r="A856" s="27"/>
      <c r="B856" s="52"/>
      <c r="C856" s="27"/>
      <c r="D856" s="53"/>
      <c r="E856" s="53"/>
      <c r="F856" s="53"/>
    </row>
    <row r="857" spans="1:6" x14ac:dyDescent="0.2">
      <c r="A857" s="27"/>
      <c r="B857" s="52"/>
      <c r="C857" s="27"/>
      <c r="D857" s="53"/>
      <c r="E857" s="53"/>
      <c r="F857" s="53"/>
    </row>
    <row r="858" spans="1:6" x14ac:dyDescent="0.2">
      <c r="A858" s="27"/>
      <c r="B858" s="52"/>
      <c r="C858" s="27"/>
      <c r="D858" s="53"/>
      <c r="E858" s="53"/>
      <c r="F858" s="53"/>
    </row>
    <row r="859" spans="1:6" x14ac:dyDescent="0.2">
      <c r="A859" s="27"/>
      <c r="B859" s="52"/>
      <c r="C859" s="27"/>
      <c r="D859" s="53"/>
      <c r="E859" s="53"/>
      <c r="F859" s="53"/>
    </row>
    <row r="860" spans="1:6" x14ac:dyDescent="0.2">
      <c r="A860" s="27"/>
      <c r="B860" s="52"/>
      <c r="C860" s="27"/>
      <c r="D860" s="53"/>
      <c r="E860" s="53"/>
      <c r="F860" s="53"/>
    </row>
    <row r="861" spans="1:6" x14ac:dyDescent="0.2">
      <c r="A861" s="27"/>
      <c r="B861" s="52"/>
      <c r="C861" s="27"/>
      <c r="D861" s="53"/>
      <c r="E861" s="53"/>
      <c r="F861" s="53"/>
    </row>
    <row r="862" spans="1:6" x14ac:dyDescent="0.2">
      <c r="A862" s="27"/>
      <c r="B862" s="52"/>
      <c r="C862" s="27"/>
      <c r="D862" s="53"/>
      <c r="E862" s="53"/>
      <c r="F862" s="53"/>
    </row>
    <row r="863" spans="1:6" x14ac:dyDescent="0.2">
      <c r="A863" s="27"/>
      <c r="B863" s="52"/>
      <c r="C863" s="27"/>
      <c r="D863" s="53"/>
      <c r="E863" s="53"/>
      <c r="F863" s="53"/>
    </row>
    <row r="864" spans="1:6" x14ac:dyDescent="0.2">
      <c r="A864" s="27"/>
      <c r="B864" s="52"/>
      <c r="C864" s="27"/>
      <c r="D864" s="53"/>
      <c r="E864" s="53"/>
      <c r="F864" s="53"/>
    </row>
    <row r="865" spans="1:6" x14ac:dyDescent="0.2">
      <c r="A865" s="27"/>
      <c r="B865" s="52"/>
      <c r="C865" s="27"/>
      <c r="D865" s="53"/>
      <c r="E865" s="53"/>
      <c r="F865" s="53"/>
    </row>
    <row r="866" spans="1:6" x14ac:dyDescent="0.2">
      <c r="A866" s="27"/>
      <c r="B866" s="52"/>
      <c r="C866" s="27"/>
      <c r="D866" s="53"/>
      <c r="E866" s="53"/>
      <c r="F866" s="53"/>
    </row>
    <row r="867" spans="1:6" x14ac:dyDescent="0.2">
      <c r="A867" s="27"/>
      <c r="B867" s="52"/>
      <c r="C867" s="27"/>
      <c r="D867" s="53"/>
      <c r="E867" s="53"/>
      <c r="F867" s="53"/>
    </row>
    <row r="868" spans="1:6" x14ac:dyDescent="0.2">
      <c r="A868" s="27"/>
      <c r="B868" s="52"/>
      <c r="C868" s="27"/>
      <c r="D868" s="53"/>
      <c r="E868" s="53"/>
      <c r="F868" s="53"/>
    </row>
    <row r="869" spans="1:6" x14ac:dyDescent="0.2">
      <c r="A869" s="27"/>
      <c r="B869" s="52"/>
      <c r="C869" s="27"/>
      <c r="D869" s="53"/>
      <c r="E869" s="53"/>
      <c r="F869" s="53"/>
    </row>
    <row r="870" spans="1:6" x14ac:dyDescent="0.2">
      <c r="A870" s="27"/>
      <c r="B870" s="52"/>
      <c r="C870" s="27"/>
      <c r="D870" s="53"/>
      <c r="E870" s="53"/>
      <c r="F870" s="53"/>
    </row>
    <row r="871" spans="1:6" x14ac:dyDescent="0.2">
      <c r="A871" s="27"/>
      <c r="B871" s="52"/>
      <c r="C871" s="27"/>
      <c r="D871" s="53"/>
      <c r="E871" s="53"/>
      <c r="F871" s="53"/>
    </row>
    <row r="872" spans="1:6" x14ac:dyDescent="0.2">
      <c r="A872" s="27"/>
      <c r="B872" s="52"/>
      <c r="C872" s="27"/>
      <c r="D872" s="53"/>
      <c r="E872" s="53"/>
      <c r="F872" s="53"/>
    </row>
    <row r="873" spans="1:6" x14ac:dyDescent="0.2">
      <c r="A873" s="27"/>
      <c r="B873" s="52"/>
      <c r="C873" s="27"/>
      <c r="D873" s="53"/>
      <c r="E873" s="53"/>
      <c r="F873" s="53"/>
    </row>
    <row r="874" spans="1:6" x14ac:dyDescent="0.2">
      <c r="A874" s="27"/>
      <c r="B874" s="52"/>
      <c r="C874" s="27"/>
      <c r="D874" s="53"/>
      <c r="E874" s="53"/>
      <c r="F874" s="53"/>
    </row>
    <row r="875" spans="1:6" x14ac:dyDescent="0.2">
      <c r="A875" s="27"/>
      <c r="B875" s="52"/>
      <c r="C875" s="27"/>
      <c r="D875" s="53"/>
      <c r="E875" s="53"/>
      <c r="F875" s="53"/>
    </row>
    <row r="876" spans="1:6" x14ac:dyDescent="0.2">
      <c r="A876" s="27"/>
      <c r="B876" s="52"/>
      <c r="C876" s="27"/>
      <c r="D876" s="53"/>
      <c r="E876" s="53"/>
      <c r="F876" s="53"/>
    </row>
    <row r="877" spans="1:6" x14ac:dyDescent="0.2">
      <c r="A877" s="27"/>
      <c r="B877" s="52"/>
      <c r="C877" s="27"/>
      <c r="D877" s="53"/>
      <c r="E877" s="53"/>
      <c r="F877" s="53"/>
    </row>
    <row r="878" spans="1:6" x14ac:dyDescent="0.2">
      <c r="A878" s="27"/>
      <c r="B878" s="52"/>
      <c r="C878" s="27"/>
      <c r="D878" s="53"/>
      <c r="E878" s="53"/>
      <c r="F878" s="53"/>
    </row>
    <row r="879" spans="1:6" x14ac:dyDescent="0.2">
      <c r="A879" s="27"/>
      <c r="B879" s="52"/>
      <c r="C879" s="27"/>
      <c r="D879" s="53"/>
      <c r="E879" s="53"/>
      <c r="F879" s="53"/>
    </row>
    <row r="880" spans="1:6" x14ac:dyDescent="0.2">
      <c r="A880" s="27"/>
      <c r="B880" s="52"/>
      <c r="C880" s="27"/>
      <c r="D880" s="53"/>
      <c r="E880" s="53"/>
      <c r="F880" s="53"/>
    </row>
    <row r="881" spans="1:6" x14ac:dyDescent="0.2">
      <c r="A881" s="27"/>
      <c r="B881" s="52"/>
      <c r="C881" s="27"/>
      <c r="D881" s="53"/>
      <c r="E881" s="53"/>
      <c r="F881" s="53"/>
    </row>
    <row r="882" spans="1:6" x14ac:dyDescent="0.2">
      <c r="A882" s="27"/>
      <c r="B882" s="52"/>
      <c r="C882" s="27"/>
      <c r="D882" s="53"/>
      <c r="E882" s="53"/>
      <c r="F882" s="53"/>
    </row>
    <row r="883" spans="1:6" x14ac:dyDescent="0.2">
      <c r="A883" s="27"/>
      <c r="B883" s="52"/>
      <c r="C883" s="27"/>
      <c r="D883" s="53"/>
      <c r="E883" s="53"/>
      <c r="F883" s="53"/>
    </row>
    <row r="884" spans="1:6" x14ac:dyDescent="0.2">
      <c r="A884" s="27"/>
      <c r="B884" s="52"/>
      <c r="C884" s="27"/>
      <c r="D884" s="53"/>
      <c r="E884" s="53"/>
      <c r="F884" s="53"/>
    </row>
    <row r="885" spans="1:6" x14ac:dyDescent="0.2">
      <c r="A885" s="27"/>
      <c r="B885" s="52"/>
      <c r="C885" s="27"/>
      <c r="D885" s="53"/>
      <c r="E885" s="53"/>
      <c r="F885" s="53"/>
    </row>
    <row r="886" spans="1:6" x14ac:dyDescent="0.2">
      <c r="A886" s="27"/>
      <c r="B886" s="52"/>
      <c r="C886" s="27"/>
      <c r="D886" s="53"/>
      <c r="E886" s="53"/>
      <c r="F886" s="53"/>
    </row>
    <row r="887" spans="1:6" x14ac:dyDescent="0.2">
      <c r="A887" s="27"/>
      <c r="B887" s="52"/>
      <c r="C887" s="27"/>
      <c r="D887" s="53"/>
      <c r="E887" s="53"/>
      <c r="F887" s="53"/>
    </row>
    <row r="888" spans="1:6" x14ac:dyDescent="0.2">
      <c r="A888" s="27"/>
      <c r="B888" s="52"/>
      <c r="C888" s="27"/>
      <c r="D888" s="53"/>
      <c r="E888" s="53"/>
      <c r="F888" s="53"/>
    </row>
    <row r="889" spans="1:6" x14ac:dyDescent="0.2">
      <c r="A889" s="27"/>
      <c r="B889" s="52"/>
      <c r="C889" s="27"/>
      <c r="D889" s="53"/>
      <c r="E889" s="53"/>
      <c r="F889" s="53"/>
    </row>
    <row r="890" spans="1:6" x14ac:dyDescent="0.2">
      <c r="A890" s="27"/>
      <c r="B890" s="52"/>
      <c r="C890" s="27"/>
      <c r="D890" s="53"/>
      <c r="E890" s="53"/>
      <c r="F890" s="53"/>
    </row>
    <row r="891" spans="1:6" x14ac:dyDescent="0.2">
      <c r="A891" s="27"/>
      <c r="B891" s="52"/>
      <c r="C891" s="27"/>
      <c r="D891" s="53"/>
      <c r="E891" s="53"/>
      <c r="F891" s="53"/>
    </row>
    <row r="892" spans="1:6" x14ac:dyDescent="0.2">
      <c r="A892" s="27"/>
      <c r="B892" s="52"/>
      <c r="C892" s="27"/>
      <c r="D892" s="53"/>
      <c r="E892" s="53"/>
      <c r="F892" s="53"/>
    </row>
    <row r="893" spans="1:6" x14ac:dyDescent="0.2">
      <c r="A893" s="27"/>
      <c r="B893" s="52"/>
      <c r="C893" s="27"/>
      <c r="D893" s="53"/>
      <c r="E893" s="53"/>
      <c r="F893" s="53"/>
    </row>
    <row r="894" spans="1:6" x14ac:dyDescent="0.2">
      <c r="A894" s="27"/>
      <c r="B894" s="52"/>
      <c r="C894" s="27"/>
      <c r="D894" s="53"/>
      <c r="E894" s="53"/>
      <c r="F894" s="53"/>
    </row>
    <row r="895" spans="1:6" x14ac:dyDescent="0.2">
      <c r="A895" s="27"/>
      <c r="B895" s="52"/>
      <c r="C895" s="27"/>
      <c r="D895" s="53"/>
      <c r="E895" s="53"/>
      <c r="F895" s="53"/>
    </row>
    <row r="896" spans="1:6" x14ac:dyDescent="0.2">
      <c r="A896" s="27"/>
      <c r="B896" s="52"/>
      <c r="C896" s="27"/>
      <c r="D896" s="53"/>
      <c r="E896" s="53"/>
      <c r="F896" s="53"/>
    </row>
    <row r="897" spans="1:6" x14ac:dyDescent="0.2">
      <c r="A897" s="27"/>
      <c r="B897" s="52"/>
      <c r="C897" s="27"/>
      <c r="D897" s="53"/>
      <c r="E897" s="53"/>
      <c r="F897" s="53"/>
    </row>
    <row r="898" spans="1:6" x14ac:dyDescent="0.2">
      <c r="A898" s="27"/>
      <c r="B898" s="52"/>
      <c r="C898" s="27"/>
      <c r="D898" s="53"/>
      <c r="E898" s="53"/>
      <c r="F898" s="53"/>
    </row>
    <row r="899" spans="1:6" x14ac:dyDescent="0.2">
      <c r="A899" s="27"/>
      <c r="B899" s="52"/>
      <c r="C899" s="27"/>
      <c r="D899" s="53"/>
      <c r="E899" s="53"/>
      <c r="F899" s="53"/>
    </row>
    <row r="900" spans="1:6" x14ac:dyDescent="0.2">
      <c r="A900" s="27"/>
      <c r="B900" s="52"/>
      <c r="C900" s="27"/>
      <c r="D900" s="53"/>
      <c r="E900" s="53"/>
      <c r="F900" s="53"/>
    </row>
    <row r="901" spans="1:6" x14ac:dyDescent="0.2">
      <c r="A901" s="27"/>
      <c r="B901" s="52"/>
      <c r="C901" s="27"/>
      <c r="D901" s="53"/>
      <c r="E901" s="53"/>
      <c r="F901" s="53"/>
    </row>
    <row r="902" spans="1:6" x14ac:dyDescent="0.2">
      <c r="A902" s="27"/>
      <c r="B902" s="52"/>
      <c r="C902" s="27"/>
      <c r="D902" s="53"/>
      <c r="E902" s="53"/>
      <c r="F902" s="53"/>
    </row>
    <row r="903" spans="1:6" x14ac:dyDescent="0.2">
      <c r="A903" s="27"/>
      <c r="B903" s="52"/>
      <c r="C903" s="27"/>
      <c r="D903" s="53"/>
      <c r="E903" s="53"/>
      <c r="F903" s="53"/>
    </row>
    <row r="904" spans="1:6" x14ac:dyDescent="0.2">
      <c r="A904" s="27"/>
      <c r="B904" s="52"/>
      <c r="C904" s="27"/>
      <c r="D904" s="53"/>
      <c r="E904" s="53"/>
      <c r="F904" s="53"/>
    </row>
    <row r="905" spans="1:6" x14ac:dyDescent="0.2">
      <c r="A905" s="27"/>
      <c r="B905" s="52"/>
      <c r="C905" s="27"/>
      <c r="D905" s="53"/>
      <c r="E905" s="53"/>
      <c r="F905" s="53"/>
    </row>
    <row r="906" spans="1:6" x14ac:dyDescent="0.2">
      <c r="A906" s="27"/>
      <c r="B906" s="52"/>
      <c r="C906" s="27"/>
      <c r="D906" s="53"/>
      <c r="E906" s="53"/>
      <c r="F906" s="53"/>
    </row>
    <row r="907" spans="1:6" x14ac:dyDescent="0.2">
      <c r="A907" s="27"/>
      <c r="B907" s="52"/>
      <c r="C907" s="27"/>
      <c r="D907" s="53"/>
      <c r="E907" s="53"/>
      <c r="F907" s="53"/>
    </row>
    <row r="908" spans="1:6" x14ac:dyDescent="0.2">
      <c r="A908" s="27"/>
      <c r="B908" s="52"/>
      <c r="C908" s="27"/>
      <c r="D908" s="53"/>
      <c r="E908" s="53"/>
      <c r="F908" s="53"/>
    </row>
    <row r="909" spans="1:6" x14ac:dyDescent="0.2">
      <c r="A909" s="27"/>
      <c r="B909" s="52"/>
      <c r="C909" s="27"/>
      <c r="D909" s="53"/>
      <c r="E909" s="53"/>
      <c r="F909" s="53"/>
    </row>
    <row r="910" spans="1:6" x14ac:dyDescent="0.2">
      <c r="A910" s="27"/>
      <c r="B910" s="52"/>
      <c r="C910" s="27"/>
      <c r="D910" s="53"/>
      <c r="E910" s="53"/>
      <c r="F910" s="53"/>
    </row>
    <row r="911" spans="1:6" x14ac:dyDescent="0.2">
      <c r="A911" s="27"/>
      <c r="B911" s="52"/>
      <c r="C911" s="27"/>
      <c r="D911" s="53"/>
      <c r="E911" s="53"/>
      <c r="F911" s="53"/>
    </row>
    <row r="912" spans="1:6" x14ac:dyDescent="0.2">
      <c r="A912" s="27"/>
      <c r="B912" s="52"/>
      <c r="C912" s="27"/>
      <c r="D912" s="53"/>
      <c r="E912" s="53"/>
      <c r="F912" s="53"/>
    </row>
    <row r="913" spans="1:6" x14ac:dyDescent="0.2">
      <c r="A913" s="27"/>
      <c r="B913" s="52"/>
      <c r="C913" s="27"/>
      <c r="D913" s="53"/>
      <c r="E913" s="53"/>
      <c r="F913" s="53"/>
    </row>
    <row r="914" spans="1:6" x14ac:dyDescent="0.2">
      <c r="A914" s="27"/>
      <c r="B914" s="52"/>
      <c r="C914" s="27"/>
      <c r="D914" s="53"/>
      <c r="E914" s="53"/>
      <c r="F914" s="53"/>
    </row>
    <row r="915" spans="1:6" x14ac:dyDescent="0.2">
      <c r="A915" s="27"/>
      <c r="B915" s="52"/>
      <c r="C915" s="27"/>
      <c r="D915" s="53"/>
      <c r="E915" s="53"/>
      <c r="F915" s="53"/>
    </row>
    <row r="916" spans="1:6" x14ac:dyDescent="0.2">
      <c r="A916" s="27"/>
      <c r="B916" s="52"/>
      <c r="C916" s="27"/>
      <c r="D916" s="53"/>
      <c r="E916" s="53"/>
      <c r="F916" s="53"/>
    </row>
    <row r="917" spans="1:6" x14ac:dyDescent="0.2">
      <c r="A917" s="27"/>
      <c r="B917" s="52"/>
      <c r="C917" s="27"/>
      <c r="D917" s="53"/>
      <c r="E917" s="53"/>
      <c r="F917" s="53"/>
    </row>
    <row r="918" spans="1:6" x14ac:dyDescent="0.2">
      <c r="A918" s="27"/>
      <c r="B918" s="52"/>
      <c r="C918" s="27"/>
      <c r="D918" s="53"/>
      <c r="E918" s="53"/>
      <c r="F918" s="53"/>
    </row>
    <row r="919" spans="1:6" x14ac:dyDescent="0.2">
      <c r="A919" s="27"/>
      <c r="B919" s="52"/>
      <c r="C919" s="27"/>
      <c r="D919" s="53"/>
      <c r="E919" s="53"/>
      <c r="F919" s="53"/>
    </row>
    <row r="920" spans="1:6" x14ac:dyDescent="0.2">
      <c r="A920" s="27"/>
      <c r="B920" s="52"/>
      <c r="C920" s="27"/>
      <c r="D920" s="53"/>
      <c r="E920" s="53"/>
      <c r="F920" s="53"/>
    </row>
    <row r="921" spans="1:6" x14ac:dyDescent="0.2">
      <c r="A921" s="27"/>
      <c r="B921" s="52"/>
      <c r="C921" s="27"/>
      <c r="D921" s="53"/>
      <c r="E921" s="53"/>
      <c r="F921" s="53"/>
    </row>
    <row r="922" spans="1:6" x14ac:dyDescent="0.2">
      <c r="A922" s="27"/>
      <c r="B922" s="52"/>
      <c r="C922" s="27"/>
      <c r="D922" s="53"/>
      <c r="E922" s="53"/>
      <c r="F922" s="53"/>
    </row>
    <row r="923" spans="1:6" x14ac:dyDescent="0.2">
      <c r="A923" s="27"/>
      <c r="B923" s="52"/>
      <c r="C923" s="27"/>
      <c r="D923" s="53"/>
      <c r="E923" s="53"/>
      <c r="F923" s="53"/>
    </row>
    <row r="924" spans="1:6" x14ac:dyDescent="0.2">
      <c r="A924" s="27"/>
      <c r="B924" s="52"/>
      <c r="C924" s="27"/>
      <c r="D924" s="53"/>
      <c r="E924" s="53"/>
      <c r="F924" s="53"/>
    </row>
    <row r="925" spans="1:6" x14ac:dyDescent="0.2">
      <c r="A925" s="27"/>
      <c r="B925" s="52"/>
      <c r="C925" s="27"/>
      <c r="D925" s="53"/>
      <c r="E925" s="53"/>
      <c r="F925" s="53"/>
    </row>
    <row r="926" spans="1:6" x14ac:dyDescent="0.2">
      <c r="A926" s="27"/>
      <c r="B926" s="52"/>
      <c r="C926" s="27"/>
      <c r="D926" s="53"/>
      <c r="E926" s="53"/>
      <c r="F926" s="53"/>
    </row>
    <row r="927" spans="1:6" x14ac:dyDescent="0.2">
      <c r="A927" s="27"/>
      <c r="B927" s="52"/>
      <c r="C927" s="27"/>
      <c r="D927" s="53"/>
      <c r="E927" s="53"/>
      <c r="F927" s="53"/>
    </row>
    <row r="928" spans="1:6" x14ac:dyDescent="0.2">
      <c r="A928" s="27"/>
      <c r="B928" s="52"/>
      <c r="C928" s="27"/>
      <c r="D928" s="53"/>
      <c r="E928" s="53"/>
      <c r="F928" s="53"/>
    </row>
    <row r="929" spans="1:6" x14ac:dyDescent="0.2">
      <c r="A929" s="27"/>
      <c r="B929" s="52"/>
      <c r="C929" s="27"/>
      <c r="D929" s="53"/>
      <c r="E929" s="53"/>
      <c r="F929" s="53"/>
    </row>
    <row r="930" spans="1:6" x14ac:dyDescent="0.2">
      <c r="A930" s="27"/>
      <c r="B930" s="52"/>
      <c r="C930" s="27"/>
      <c r="D930" s="53"/>
      <c r="E930" s="53"/>
      <c r="F930" s="53"/>
    </row>
    <row r="931" spans="1:6" x14ac:dyDescent="0.2">
      <c r="A931" s="27"/>
      <c r="B931" s="52"/>
      <c r="C931" s="27"/>
      <c r="D931" s="53"/>
      <c r="E931" s="53"/>
      <c r="F931" s="53"/>
    </row>
    <row r="932" spans="1:6" x14ac:dyDescent="0.2">
      <c r="A932" s="27"/>
      <c r="B932" s="52"/>
      <c r="C932" s="27"/>
      <c r="D932" s="53"/>
      <c r="E932" s="53"/>
      <c r="F932" s="53"/>
    </row>
    <row r="933" spans="1:6" x14ac:dyDescent="0.2">
      <c r="A933" s="27"/>
      <c r="B933" s="52"/>
      <c r="C933" s="27"/>
      <c r="D933" s="53"/>
      <c r="E933" s="53"/>
      <c r="F933" s="53"/>
    </row>
    <row r="934" spans="1:6" x14ac:dyDescent="0.2">
      <c r="A934" s="27"/>
      <c r="B934" s="52"/>
      <c r="C934" s="27"/>
      <c r="D934" s="53"/>
      <c r="E934" s="53"/>
      <c r="F934" s="53"/>
    </row>
    <row r="935" spans="1:6" x14ac:dyDescent="0.2">
      <c r="A935" s="27"/>
      <c r="B935" s="52"/>
      <c r="C935" s="27"/>
      <c r="D935" s="53"/>
      <c r="E935" s="53"/>
      <c r="F935" s="53"/>
    </row>
    <row r="936" spans="1:6" x14ac:dyDescent="0.2">
      <c r="A936" s="27"/>
      <c r="B936" s="52"/>
      <c r="C936" s="27"/>
      <c r="D936" s="53"/>
      <c r="E936" s="53"/>
      <c r="F936" s="53"/>
    </row>
    <row r="937" spans="1:6" x14ac:dyDescent="0.2">
      <c r="A937" s="27"/>
      <c r="B937" s="52"/>
      <c r="C937" s="27"/>
      <c r="D937" s="53"/>
      <c r="E937" s="53"/>
      <c r="F937" s="53"/>
    </row>
    <row r="938" spans="1:6" x14ac:dyDescent="0.2">
      <c r="A938" s="27"/>
      <c r="B938" s="52"/>
      <c r="C938" s="27"/>
      <c r="D938" s="53"/>
      <c r="E938" s="53"/>
      <c r="F938" s="53"/>
    </row>
    <row r="939" spans="1:6" x14ac:dyDescent="0.2">
      <c r="A939" s="27"/>
      <c r="B939" s="52"/>
      <c r="C939" s="27"/>
      <c r="D939" s="53"/>
      <c r="E939" s="53"/>
      <c r="F939" s="53"/>
    </row>
    <row r="940" spans="1:6" x14ac:dyDescent="0.2">
      <c r="A940" s="27"/>
      <c r="B940" s="52"/>
      <c r="C940" s="27"/>
      <c r="D940" s="53"/>
      <c r="E940" s="53"/>
      <c r="F940" s="53"/>
    </row>
    <row r="941" spans="1:6" x14ac:dyDescent="0.2">
      <c r="A941" s="27"/>
      <c r="B941" s="52"/>
      <c r="C941" s="27"/>
      <c r="D941" s="53"/>
      <c r="E941" s="53"/>
      <c r="F941" s="53"/>
    </row>
    <row r="942" spans="1:6" x14ac:dyDescent="0.2">
      <c r="A942" s="27"/>
      <c r="B942" s="52"/>
      <c r="C942" s="27"/>
      <c r="D942" s="53"/>
      <c r="E942" s="53"/>
      <c r="F942" s="53"/>
    </row>
    <row r="943" spans="1:6" x14ac:dyDescent="0.2">
      <c r="A943" s="27"/>
      <c r="B943" s="52"/>
      <c r="C943" s="27"/>
      <c r="D943" s="53"/>
      <c r="E943" s="53"/>
      <c r="F943" s="53"/>
    </row>
    <row r="944" spans="1:6" x14ac:dyDescent="0.2">
      <c r="A944" s="27"/>
      <c r="B944" s="52"/>
      <c r="C944" s="27"/>
      <c r="D944" s="53"/>
      <c r="E944" s="53"/>
      <c r="F944" s="53"/>
    </row>
    <row r="945" spans="1:6" x14ac:dyDescent="0.2">
      <c r="A945" s="27"/>
      <c r="B945" s="52"/>
      <c r="C945" s="27"/>
      <c r="D945" s="53"/>
      <c r="E945" s="53"/>
      <c r="F945" s="53"/>
    </row>
    <row r="946" spans="1:6" x14ac:dyDescent="0.2">
      <c r="A946" s="27"/>
      <c r="B946" s="52"/>
      <c r="C946" s="27"/>
      <c r="D946" s="53"/>
      <c r="E946" s="53"/>
      <c r="F946" s="53"/>
    </row>
    <row r="947" spans="1:6" x14ac:dyDescent="0.2">
      <c r="A947" s="27"/>
      <c r="B947" s="52"/>
      <c r="C947" s="27"/>
      <c r="D947" s="53"/>
      <c r="E947" s="53"/>
      <c r="F947" s="53"/>
    </row>
    <row r="948" spans="1:6" x14ac:dyDescent="0.2">
      <c r="A948" s="27"/>
      <c r="B948" s="52"/>
      <c r="C948" s="27"/>
      <c r="D948" s="53"/>
      <c r="E948" s="53"/>
      <c r="F948" s="53"/>
    </row>
    <row r="949" spans="1:6" x14ac:dyDescent="0.2">
      <c r="A949" s="27"/>
      <c r="B949" s="52"/>
      <c r="C949" s="27"/>
      <c r="D949" s="53"/>
      <c r="E949" s="53"/>
      <c r="F949" s="53"/>
    </row>
    <row r="950" spans="1:6" x14ac:dyDescent="0.2">
      <c r="A950" s="27"/>
      <c r="B950" s="52"/>
      <c r="C950" s="27"/>
      <c r="D950" s="53"/>
      <c r="E950" s="53"/>
      <c r="F950" s="53"/>
    </row>
    <row r="951" spans="1:6" x14ac:dyDescent="0.2">
      <c r="A951" s="27"/>
      <c r="B951" s="52"/>
      <c r="C951" s="27"/>
      <c r="D951" s="53"/>
      <c r="E951" s="53"/>
      <c r="F951" s="53"/>
    </row>
    <row r="952" spans="1:6" x14ac:dyDescent="0.2">
      <c r="A952" s="27"/>
      <c r="B952" s="52"/>
      <c r="C952" s="27"/>
      <c r="D952" s="53"/>
      <c r="E952" s="53"/>
      <c r="F952" s="53"/>
    </row>
    <row r="953" spans="1:6" x14ac:dyDescent="0.2">
      <c r="A953" s="27"/>
      <c r="B953" s="52"/>
      <c r="C953" s="27"/>
      <c r="D953" s="53"/>
      <c r="E953" s="53"/>
      <c r="F953" s="53"/>
    </row>
    <row r="954" spans="1:6" x14ac:dyDescent="0.2">
      <c r="A954" s="27"/>
      <c r="B954" s="52"/>
      <c r="C954" s="27"/>
      <c r="D954" s="53"/>
      <c r="E954" s="53"/>
      <c r="F954" s="53"/>
    </row>
    <row r="955" spans="1:6" x14ac:dyDescent="0.2">
      <c r="A955" s="27"/>
      <c r="B955" s="52"/>
      <c r="C955" s="27"/>
      <c r="D955" s="53"/>
      <c r="E955" s="53"/>
      <c r="F955" s="53"/>
    </row>
    <row r="956" spans="1:6" x14ac:dyDescent="0.2">
      <c r="A956" s="27"/>
      <c r="B956" s="52"/>
      <c r="C956" s="27"/>
      <c r="D956" s="53"/>
      <c r="E956" s="53"/>
      <c r="F956" s="53"/>
    </row>
    <row r="957" spans="1:6" x14ac:dyDescent="0.2">
      <c r="A957" s="27"/>
      <c r="B957" s="52"/>
      <c r="C957" s="27"/>
      <c r="D957" s="53"/>
      <c r="E957" s="53"/>
      <c r="F957" s="53"/>
    </row>
    <row r="958" spans="1:6" x14ac:dyDescent="0.2">
      <c r="A958" s="27"/>
      <c r="B958" s="52"/>
      <c r="C958" s="27"/>
      <c r="D958" s="53"/>
      <c r="E958" s="53"/>
      <c r="F958" s="53"/>
    </row>
    <row r="959" spans="1:6" x14ac:dyDescent="0.2">
      <c r="A959" s="27"/>
      <c r="B959" s="52"/>
      <c r="C959" s="27"/>
      <c r="D959" s="53"/>
      <c r="E959" s="53"/>
      <c r="F959" s="53"/>
    </row>
    <row r="960" spans="1:6" x14ac:dyDescent="0.2">
      <c r="A960" s="27"/>
      <c r="B960" s="52"/>
      <c r="C960" s="27"/>
      <c r="D960" s="53"/>
      <c r="E960" s="53"/>
      <c r="F960" s="53"/>
    </row>
    <row r="961" spans="1:6" x14ac:dyDescent="0.2">
      <c r="A961" s="27"/>
      <c r="B961" s="52"/>
      <c r="C961" s="27"/>
      <c r="D961" s="53"/>
      <c r="E961" s="53"/>
      <c r="F961" s="53"/>
    </row>
    <row r="962" spans="1:6" x14ac:dyDescent="0.2">
      <c r="A962" s="27"/>
      <c r="B962" s="52"/>
      <c r="C962" s="27"/>
      <c r="D962" s="53"/>
      <c r="E962" s="53"/>
      <c r="F962" s="53"/>
    </row>
    <row r="963" spans="1:6" x14ac:dyDescent="0.2">
      <c r="A963" s="27"/>
      <c r="B963" s="52"/>
      <c r="C963" s="27"/>
      <c r="D963" s="53"/>
      <c r="E963" s="53"/>
      <c r="F963" s="53"/>
    </row>
    <row r="964" spans="1:6" x14ac:dyDescent="0.2">
      <c r="A964" s="27"/>
      <c r="B964" s="52"/>
      <c r="C964" s="27"/>
      <c r="D964" s="53"/>
      <c r="E964" s="53"/>
      <c r="F964" s="53"/>
    </row>
    <row r="965" spans="1:6" x14ac:dyDescent="0.2">
      <c r="A965" s="27"/>
      <c r="B965" s="52"/>
      <c r="C965" s="27"/>
      <c r="D965" s="53"/>
      <c r="E965" s="53"/>
      <c r="F965" s="53"/>
    </row>
    <row r="966" spans="1:6" x14ac:dyDescent="0.2">
      <c r="A966" s="27"/>
      <c r="B966" s="52"/>
      <c r="C966" s="27"/>
      <c r="D966" s="53"/>
      <c r="E966" s="53"/>
      <c r="F966" s="53"/>
    </row>
    <row r="967" spans="1:6" x14ac:dyDescent="0.2">
      <c r="A967" s="27"/>
      <c r="B967" s="52"/>
      <c r="C967" s="27"/>
      <c r="D967" s="53"/>
      <c r="E967" s="53"/>
      <c r="F967" s="53"/>
    </row>
    <row r="968" spans="1:6" x14ac:dyDescent="0.2">
      <c r="A968" s="27"/>
      <c r="B968" s="52"/>
      <c r="C968" s="27"/>
      <c r="D968" s="53"/>
      <c r="E968" s="53"/>
      <c r="F968" s="53"/>
    </row>
    <row r="969" spans="1:6" x14ac:dyDescent="0.2">
      <c r="A969" s="27"/>
      <c r="B969" s="52"/>
      <c r="C969" s="27"/>
      <c r="D969" s="53"/>
      <c r="E969" s="53"/>
      <c r="F969" s="53"/>
    </row>
    <row r="970" spans="1:6" x14ac:dyDescent="0.2">
      <c r="A970" s="27"/>
      <c r="B970" s="52"/>
      <c r="C970" s="27"/>
      <c r="D970" s="53"/>
      <c r="E970" s="53"/>
      <c r="F970" s="53"/>
    </row>
    <row r="971" spans="1:6" x14ac:dyDescent="0.2">
      <c r="A971" s="27"/>
      <c r="B971" s="52"/>
      <c r="C971" s="27"/>
      <c r="D971" s="53"/>
      <c r="E971" s="53"/>
      <c r="F971" s="53"/>
    </row>
    <row r="972" spans="1:6" x14ac:dyDescent="0.2">
      <c r="A972" s="27"/>
      <c r="B972" s="52"/>
      <c r="C972" s="27"/>
      <c r="D972" s="53"/>
      <c r="E972" s="53"/>
      <c r="F972" s="53"/>
    </row>
    <row r="973" spans="1:6" x14ac:dyDescent="0.2">
      <c r="A973" s="27"/>
      <c r="B973" s="52"/>
      <c r="C973" s="27"/>
      <c r="D973" s="53"/>
      <c r="E973" s="53"/>
      <c r="F973" s="53"/>
    </row>
    <row r="974" spans="1:6" x14ac:dyDescent="0.2">
      <c r="A974" s="27"/>
      <c r="B974" s="52"/>
      <c r="C974" s="27"/>
      <c r="D974" s="53"/>
      <c r="E974" s="53"/>
      <c r="F974" s="53"/>
    </row>
    <row r="975" spans="1:6" x14ac:dyDescent="0.2">
      <c r="A975" s="27"/>
      <c r="B975" s="52"/>
      <c r="C975" s="27"/>
      <c r="D975" s="53"/>
      <c r="E975" s="53"/>
      <c r="F975" s="53"/>
    </row>
    <row r="976" spans="1:6" x14ac:dyDescent="0.2">
      <c r="A976" s="27"/>
      <c r="B976" s="52"/>
      <c r="C976" s="27"/>
      <c r="D976" s="53"/>
      <c r="E976" s="53"/>
      <c r="F976" s="53"/>
    </row>
    <row r="977" spans="1:6" x14ac:dyDescent="0.2">
      <c r="A977" s="27"/>
      <c r="B977" s="52"/>
      <c r="C977" s="27"/>
      <c r="D977" s="53"/>
      <c r="E977" s="53"/>
      <c r="F977" s="53"/>
    </row>
    <row r="978" spans="1:6" x14ac:dyDescent="0.2">
      <c r="A978" s="27"/>
      <c r="B978" s="52"/>
      <c r="C978" s="27"/>
      <c r="D978" s="53"/>
      <c r="E978" s="53"/>
      <c r="F978" s="53"/>
    </row>
    <row r="979" spans="1:6" x14ac:dyDescent="0.2">
      <c r="A979" s="27"/>
      <c r="B979" s="52"/>
      <c r="C979" s="27"/>
      <c r="D979" s="53"/>
      <c r="E979" s="53"/>
      <c r="F979" s="53"/>
    </row>
    <row r="980" spans="1:6" x14ac:dyDescent="0.2">
      <c r="A980" s="27"/>
      <c r="B980" s="52"/>
      <c r="C980" s="27"/>
      <c r="D980" s="53"/>
      <c r="E980" s="53"/>
      <c r="F980" s="53"/>
    </row>
    <row r="981" spans="1:6" x14ac:dyDescent="0.2">
      <c r="A981" s="27"/>
      <c r="B981" s="52"/>
      <c r="C981" s="27"/>
      <c r="D981" s="53"/>
      <c r="E981" s="53"/>
      <c r="F981" s="53"/>
    </row>
    <row r="982" spans="1:6" x14ac:dyDescent="0.2">
      <c r="A982" s="27"/>
      <c r="B982" s="52"/>
      <c r="C982" s="27"/>
      <c r="D982" s="53"/>
      <c r="E982" s="53"/>
      <c r="F982" s="53"/>
    </row>
    <row r="983" spans="1:6" x14ac:dyDescent="0.2">
      <c r="A983" s="27"/>
      <c r="B983" s="52"/>
      <c r="C983" s="27"/>
      <c r="D983" s="53"/>
      <c r="E983" s="53"/>
      <c r="F983" s="53"/>
    </row>
    <row r="984" spans="1:6" x14ac:dyDescent="0.2">
      <c r="A984" s="27"/>
      <c r="B984" s="52"/>
      <c r="C984" s="27"/>
      <c r="D984" s="53"/>
      <c r="E984" s="53"/>
      <c r="F984" s="53"/>
    </row>
    <row r="985" spans="1:6" x14ac:dyDescent="0.2">
      <c r="A985" s="27"/>
      <c r="B985" s="52"/>
      <c r="C985" s="27"/>
      <c r="D985" s="53"/>
      <c r="E985" s="53"/>
      <c r="F985" s="53"/>
    </row>
    <row r="986" spans="1:6" x14ac:dyDescent="0.2">
      <c r="A986" s="27"/>
      <c r="B986" s="52"/>
      <c r="C986" s="27"/>
      <c r="D986" s="53"/>
      <c r="E986" s="53"/>
      <c r="F986" s="53"/>
    </row>
    <row r="987" spans="1:6" x14ac:dyDescent="0.2">
      <c r="A987" s="27"/>
      <c r="B987" s="52"/>
      <c r="C987" s="27"/>
      <c r="D987" s="53"/>
      <c r="E987" s="53"/>
      <c r="F987" s="53"/>
    </row>
    <row r="988" spans="1:6" x14ac:dyDescent="0.2">
      <c r="A988" s="27"/>
      <c r="B988" s="52"/>
      <c r="C988" s="27"/>
      <c r="D988" s="53"/>
      <c r="E988" s="53"/>
      <c r="F988" s="53"/>
    </row>
    <row r="989" spans="1:6" x14ac:dyDescent="0.2">
      <c r="A989" s="27"/>
      <c r="B989" s="52"/>
      <c r="C989" s="27"/>
      <c r="D989" s="53"/>
      <c r="E989" s="53"/>
      <c r="F989" s="53"/>
    </row>
    <row r="990" spans="1:6" x14ac:dyDescent="0.2">
      <c r="A990" s="27"/>
      <c r="B990" s="52"/>
      <c r="C990" s="27"/>
      <c r="D990" s="53"/>
      <c r="E990" s="53"/>
      <c r="F990" s="53"/>
    </row>
    <row r="991" spans="1:6" x14ac:dyDescent="0.2">
      <c r="A991" s="27"/>
      <c r="B991" s="52"/>
      <c r="C991" s="27"/>
      <c r="D991" s="53"/>
      <c r="E991" s="53"/>
      <c r="F991" s="53"/>
    </row>
    <row r="992" spans="1:6" x14ac:dyDescent="0.2">
      <c r="A992" s="27"/>
      <c r="B992" s="52"/>
      <c r="C992" s="27"/>
      <c r="D992" s="53"/>
      <c r="E992" s="53"/>
      <c r="F992" s="53"/>
    </row>
    <row r="993" spans="1:6" x14ac:dyDescent="0.2">
      <c r="A993" s="27"/>
      <c r="B993" s="52"/>
      <c r="C993" s="27"/>
      <c r="D993" s="53"/>
      <c r="E993" s="53"/>
      <c r="F993" s="53"/>
    </row>
    <row r="994" spans="1:6" x14ac:dyDescent="0.2">
      <c r="A994" s="27"/>
      <c r="B994" s="52"/>
      <c r="C994" s="27"/>
      <c r="D994" s="53"/>
      <c r="E994" s="53"/>
      <c r="F994" s="53"/>
    </row>
    <row r="995" spans="1:6" x14ac:dyDescent="0.2">
      <c r="A995" s="27"/>
      <c r="B995" s="52"/>
      <c r="C995" s="27"/>
      <c r="D995" s="53"/>
      <c r="E995" s="53"/>
      <c r="F995" s="53"/>
    </row>
    <row r="996" spans="1:6" x14ac:dyDescent="0.2">
      <c r="A996" s="27"/>
      <c r="B996" s="52"/>
      <c r="C996" s="27"/>
      <c r="D996" s="53"/>
      <c r="E996" s="53"/>
      <c r="F996" s="53"/>
    </row>
    <row r="997" spans="1:6" x14ac:dyDescent="0.2">
      <c r="A997" s="27"/>
      <c r="B997" s="52"/>
      <c r="C997" s="27"/>
      <c r="D997" s="53"/>
      <c r="E997" s="53"/>
      <c r="F997" s="53"/>
    </row>
    <row r="998" spans="1:6" x14ac:dyDescent="0.2">
      <c r="A998" s="27"/>
      <c r="B998" s="52"/>
      <c r="C998" s="27"/>
      <c r="D998" s="53"/>
      <c r="E998" s="53"/>
      <c r="F998" s="53"/>
    </row>
    <row r="999" spans="1:6" x14ac:dyDescent="0.2">
      <c r="A999" s="27"/>
      <c r="B999" s="52"/>
      <c r="C999" s="27"/>
      <c r="D999" s="53"/>
      <c r="E999" s="53"/>
      <c r="F999" s="53"/>
    </row>
    <row r="1000" spans="1:6" x14ac:dyDescent="0.2">
      <c r="A1000" s="27"/>
      <c r="B1000" s="52"/>
      <c r="C1000" s="27"/>
      <c r="D1000" s="53"/>
      <c r="E1000" s="53"/>
      <c r="F1000" s="53"/>
    </row>
  </sheetData>
  <dataValidations count="1">
    <dataValidation allowBlank="1" showInputMessage="1" showErrorMessage="1" promptTitle="taux d'intérêt" prompt="Le taux d'intérêt doit être sur la même fréquence que les versements." sqref="B1"/>
  </dataValidations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5" enableFormatConditionsCalculation="0"/>
  <dimension ref="A1:KP59"/>
  <sheetViews>
    <sheetView topLeftCell="A3" zoomScale="92" workbookViewId="0">
      <selection activeCell="C19" sqref="C19"/>
    </sheetView>
  </sheetViews>
  <sheetFormatPr baseColWidth="10" defaultRowHeight="16" outlineLevelRow="1" x14ac:dyDescent="0.2"/>
  <cols>
    <col min="1" max="1" width="18.33203125" style="26" customWidth="1"/>
    <col min="2" max="63" width="15.6640625" style="26" customWidth="1"/>
    <col min="64" max="100" width="10.83203125" style="26"/>
    <col min="101" max="101" width="12.1640625" style="26" bestFit="1" customWidth="1"/>
    <col min="102" max="16384" width="10.83203125" style="26"/>
  </cols>
  <sheetData>
    <row r="1" spans="1:302" ht="17" thickBot="1" x14ac:dyDescent="0.25">
      <c r="A1" s="90" t="s">
        <v>33</v>
      </c>
      <c r="B1" s="91"/>
    </row>
    <row r="6" spans="1:302" s="24" customFormat="1" x14ac:dyDescent="0.2">
      <c r="A6" s="42" t="s">
        <v>35</v>
      </c>
      <c r="B6" s="43">
        <v>0</v>
      </c>
      <c r="C6" s="43">
        <v>1</v>
      </c>
      <c r="D6" s="43">
        <v>2</v>
      </c>
      <c r="E6" s="43">
        <v>3</v>
      </c>
      <c r="F6" s="43">
        <v>4</v>
      </c>
      <c r="G6" s="43">
        <v>5</v>
      </c>
      <c r="H6" s="43">
        <v>6</v>
      </c>
      <c r="I6" s="43">
        <v>7</v>
      </c>
      <c r="J6" s="43">
        <v>8</v>
      </c>
      <c r="K6" s="43">
        <v>9</v>
      </c>
      <c r="L6" s="43">
        <v>10</v>
      </c>
      <c r="M6" s="43">
        <v>11</v>
      </c>
      <c r="N6" s="43">
        <v>12</v>
      </c>
      <c r="O6" s="43">
        <v>13</v>
      </c>
      <c r="P6" s="43">
        <v>14</v>
      </c>
      <c r="Q6" s="43">
        <v>15</v>
      </c>
      <c r="R6" s="43">
        <v>16</v>
      </c>
      <c r="S6" s="43">
        <v>17</v>
      </c>
      <c r="T6" s="43">
        <v>18</v>
      </c>
      <c r="U6" s="43">
        <v>19</v>
      </c>
      <c r="V6" s="43">
        <v>20</v>
      </c>
      <c r="W6" s="43">
        <v>21</v>
      </c>
      <c r="X6" s="43">
        <v>22</v>
      </c>
      <c r="Y6" s="43">
        <v>23</v>
      </c>
      <c r="Z6" s="43">
        <v>24</v>
      </c>
      <c r="AA6" s="43">
        <v>25</v>
      </c>
      <c r="AB6" s="43">
        <v>26</v>
      </c>
      <c r="AC6" s="43">
        <v>27</v>
      </c>
      <c r="AD6" s="43">
        <v>28</v>
      </c>
      <c r="AE6" s="43">
        <v>29</v>
      </c>
      <c r="AF6" s="43">
        <v>30</v>
      </c>
      <c r="AG6" s="43">
        <v>31</v>
      </c>
      <c r="AH6" s="43">
        <v>32</v>
      </c>
      <c r="AI6" s="43">
        <v>33</v>
      </c>
      <c r="AJ6" s="43">
        <v>34</v>
      </c>
      <c r="AK6" s="43">
        <v>35</v>
      </c>
      <c r="AL6" s="43">
        <v>36</v>
      </c>
      <c r="AM6" s="43">
        <v>37</v>
      </c>
      <c r="AN6" s="43">
        <v>38</v>
      </c>
      <c r="AO6" s="43">
        <v>39</v>
      </c>
      <c r="AP6" s="43">
        <v>40</v>
      </c>
      <c r="AQ6" s="43">
        <v>41</v>
      </c>
      <c r="AR6" s="43">
        <v>42</v>
      </c>
      <c r="AS6" s="43">
        <v>43</v>
      </c>
      <c r="AT6" s="43">
        <v>44</v>
      </c>
      <c r="AU6" s="43">
        <v>45</v>
      </c>
      <c r="AV6" s="43">
        <v>46</v>
      </c>
      <c r="AW6" s="43">
        <v>47</v>
      </c>
      <c r="AX6" s="43">
        <v>48</v>
      </c>
      <c r="AY6" s="43">
        <v>49</v>
      </c>
      <c r="AZ6" s="43">
        <v>50</v>
      </c>
      <c r="BA6" s="43">
        <v>51</v>
      </c>
      <c r="BB6" s="43">
        <v>52</v>
      </c>
      <c r="BC6" s="43">
        <v>53</v>
      </c>
      <c r="BD6" s="43">
        <v>54</v>
      </c>
      <c r="BE6" s="43">
        <v>55</v>
      </c>
      <c r="BF6" s="43">
        <v>56</v>
      </c>
      <c r="BG6" s="43">
        <v>57</v>
      </c>
      <c r="BH6" s="43">
        <v>58</v>
      </c>
      <c r="BI6" s="43">
        <v>59</v>
      </c>
      <c r="BJ6" s="43">
        <v>60</v>
      </c>
      <c r="BK6" s="43">
        <v>61</v>
      </c>
      <c r="BL6" s="43">
        <v>62</v>
      </c>
      <c r="BM6" s="43">
        <v>63</v>
      </c>
      <c r="BN6" s="43">
        <v>64</v>
      </c>
      <c r="BO6" s="43">
        <v>65</v>
      </c>
      <c r="BP6" s="43">
        <v>66</v>
      </c>
      <c r="BQ6" s="43">
        <v>67</v>
      </c>
      <c r="BR6" s="43">
        <v>68</v>
      </c>
      <c r="BS6" s="43">
        <v>69</v>
      </c>
      <c r="BT6" s="43">
        <v>70</v>
      </c>
      <c r="BU6" s="43">
        <v>71</v>
      </c>
      <c r="BV6" s="43">
        <v>72</v>
      </c>
      <c r="BW6" s="43">
        <v>73</v>
      </c>
      <c r="BX6" s="43">
        <v>74</v>
      </c>
      <c r="BY6" s="43">
        <v>75</v>
      </c>
      <c r="BZ6" s="43">
        <v>76</v>
      </c>
      <c r="CA6" s="43">
        <v>77</v>
      </c>
      <c r="CB6" s="43">
        <v>78</v>
      </c>
      <c r="CC6" s="43">
        <v>79</v>
      </c>
      <c r="CD6" s="43">
        <v>80</v>
      </c>
      <c r="CE6" s="43">
        <v>81</v>
      </c>
      <c r="CF6" s="43">
        <v>82</v>
      </c>
      <c r="CG6" s="43">
        <v>83</v>
      </c>
      <c r="CH6" s="43">
        <v>84</v>
      </c>
      <c r="CI6" s="43">
        <v>85</v>
      </c>
      <c r="CJ6" s="43">
        <v>86</v>
      </c>
      <c r="CK6" s="43">
        <v>87</v>
      </c>
      <c r="CL6" s="43">
        <v>88</v>
      </c>
      <c r="CM6" s="43">
        <v>89</v>
      </c>
      <c r="CN6" s="43">
        <v>90</v>
      </c>
      <c r="CO6" s="43">
        <v>91</v>
      </c>
      <c r="CP6" s="43">
        <v>92</v>
      </c>
      <c r="CQ6" s="43">
        <v>93</v>
      </c>
      <c r="CR6" s="43">
        <v>94</v>
      </c>
      <c r="CS6" s="43">
        <v>95</v>
      </c>
      <c r="CT6" s="43">
        <v>96</v>
      </c>
      <c r="CU6" s="43">
        <v>97</v>
      </c>
      <c r="CV6" s="43">
        <v>98</v>
      </c>
      <c r="CW6" s="43">
        <v>99</v>
      </c>
      <c r="CX6" s="43">
        <v>100</v>
      </c>
      <c r="CY6" s="43">
        <v>101</v>
      </c>
      <c r="CZ6" s="43">
        <v>102</v>
      </c>
      <c r="DA6" s="43">
        <v>103</v>
      </c>
      <c r="DB6" s="43">
        <v>104</v>
      </c>
      <c r="DC6" s="43">
        <v>105</v>
      </c>
      <c r="DD6" s="43">
        <v>106</v>
      </c>
      <c r="DE6" s="43">
        <v>107</v>
      </c>
      <c r="DF6" s="43">
        <v>108</v>
      </c>
      <c r="DG6" s="43">
        <v>109</v>
      </c>
      <c r="DH6" s="43">
        <v>110</v>
      </c>
      <c r="DI6" s="43">
        <v>111</v>
      </c>
      <c r="DJ6" s="43">
        <v>112</v>
      </c>
      <c r="DK6" s="43">
        <v>113</v>
      </c>
      <c r="DL6" s="43">
        <v>114</v>
      </c>
      <c r="DM6" s="43">
        <v>115</v>
      </c>
      <c r="DN6" s="43">
        <v>116</v>
      </c>
      <c r="DO6" s="43">
        <v>117</v>
      </c>
      <c r="DP6" s="43">
        <v>118</v>
      </c>
      <c r="DQ6" s="43">
        <v>119</v>
      </c>
      <c r="DR6" s="43">
        <v>120</v>
      </c>
      <c r="DS6" s="43">
        <v>121</v>
      </c>
      <c r="DT6" s="43">
        <v>122</v>
      </c>
      <c r="DU6" s="43">
        <v>123</v>
      </c>
      <c r="DV6" s="43">
        <v>124</v>
      </c>
      <c r="DW6" s="43">
        <v>125</v>
      </c>
      <c r="DX6" s="43">
        <v>126</v>
      </c>
      <c r="DY6" s="43">
        <v>127</v>
      </c>
      <c r="DZ6" s="43">
        <v>128</v>
      </c>
      <c r="EA6" s="43">
        <v>129</v>
      </c>
      <c r="EB6" s="43">
        <v>130</v>
      </c>
      <c r="EC6" s="43">
        <v>131</v>
      </c>
      <c r="ED6" s="43">
        <v>132</v>
      </c>
      <c r="EE6" s="43">
        <v>133</v>
      </c>
      <c r="EF6" s="43">
        <v>134</v>
      </c>
      <c r="EG6" s="43">
        <v>135</v>
      </c>
      <c r="EH6" s="43">
        <v>136</v>
      </c>
      <c r="EI6" s="43">
        <v>137</v>
      </c>
      <c r="EJ6" s="43">
        <v>138</v>
      </c>
      <c r="EK6" s="43">
        <v>139</v>
      </c>
      <c r="EL6" s="43">
        <v>140</v>
      </c>
      <c r="EM6" s="43">
        <v>141</v>
      </c>
      <c r="EN6" s="43">
        <v>142</v>
      </c>
      <c r="EO6" s="43">
        <v>143</v>
      </c>
      <c r="EP6" s="43">
        <v>144</v>
      </c>
      <c r="EQ6" s="43">
        <v>145</v>
      </c>
      <c r="ER6" s="43">
        <v>146</v>
      </c>
      <c r="ES6" s="43">
        <v>147</v>
      </c>
      <c r="ET6" s="43">
        <v>148</v>
      </c>
      <c r="EU6" s="43">
        <v>149</v>
      </c>
      <c r="EV6" s="43">
        <v>150</v>
      </c>
      <c r="EW6" s="43">
        <v>151</v>
      </c>
      <c r="EX6" s="43">
        <v>152</v>
      </c>
      <c r="EY6" s="43">
        <v>153</v>
      </c>
      <c r="EZ6" s="43">
        <v>154</v>
      </c>
      <c r="FA6" s="43">
        <v>155</v>
      </c>
      <c r="FB6" s="43">
        <v>156</v>
      </c>
      <c r="FC6" s="43">
        <v>157</v>
      </c>
      <c r="FD6" s="43">
        <v>158</v>
      </c>
      <c r="FE6" s="43">
        <v>159</v>
      </c>
      <c r="FF6" s="43">
        <v>160</v>
      </c>
      <c r="FG6" s="43">
        <v>161</v>
      </c>
      <c r="FH6" s="43">
        <v>162</v>
      </c>
      <c r="FI6" s="43">
        <v>163</v>
      </c>
      <c r="FJ6" s="43">
        <v>164</v>
      </c>
      <c r="FK6" s="43">
        <v>165</v>
      </c>
      <c r="FL6" s="43">
        <v>166</v>
      </c>
      <c r="FM6" s="43">
        <v>167</v>
      </c>
      <c r="FN6" s="43">
        <v>168</v>
      </c>
      <c r="FO6" s="43">
        <v>169</v>
      </c>
      <c r="FP6" s="43">
        <v>170</v>
      </c>
      <c r="FQ6" s="43">
        <v>171</v>
      </c>
      <c r="FR6" s="43">
        <v>172</v>
      </c>
      <c r="FS6" s="43">
        <v>173</v>
      </c>
      <c r="FT6" s="43">
        <v>174</v>
      </c>
      <c r="FU6" s="43">
        <v>175</v>
      </c>
      <c r="FV6" s="43">
        <v>176</v>
      </c>
      <c r="FW6" s="43">
        <v>177</v>
      </c>
      <c r="FX6" s="43">
        <v>178</v>
      </c>
      <c r="FY6" s="43">
        <v>179</v>
      </c>
      <c r="FZ6" s="43">
        <v>180</v>
      </c>
      <c r="GA6" s="43">
        <v>181</v>
      </c>
      <c r="GB6" s="43">
        <v>182</v>
      </c>
      <c r="GC6" s="43">
        <v>183</v>
      </c>
      <c r="GD6" s="43">
        <v>184</v>
      </c>
      <c r="GE6" s="43">
        <v>185</v>
      </c>
      <c r="GF6" s="43">
        <v>186</v>
      </c>
      <c r="GG6" s="43">
        <v>187</v>
      </c>
      <c r="GH6" s="43">
        <v>188</v>
      </c>
      <c r="GI6" s="43">
        <v>189</v>
      </c>
      <c r="GJ6" s="43">
        <v>190</v>
      </c>
      <c r="GK6" s="43">
        <v>191</v>
      </c>
      <c r="GL6" s="43">
        <v>192</v>
      </c>
      <c r="GM6" s="43">
        <v>193</v>
      </c>
      <c r="GN6" s="43">
        <v>194</v>
      </c>
      <c r="GO6" s="43">
        <v>195</v>
      </c>
      <c r="GP6" s="43">
        <v>196</v>
      </c>
      <c r="GQ6" s="43">
        <v>197</v>
      </c>
      <c r="GR6" s="43">
        <v>198</v>
      </c>
      <c r="GS6" s="43">
        <v>199</v>
      </c>
      <c r="GT6" s="43">
        <v>200</v>
      </c>
      <c r="GU6" s="43">
        <v>201</v>
      </c>
      <c r="GV6" s="43">
        <v>202</v>
      </c>
      <c r="GW6" s="43">
        <v>203</v>
      </c>
      <c r="GX6" s="43">
        <v>204</v>
      </c>
      <c r="GY6" s="43">
        <v>205</v>
      </c>
      <c r="GZ6" s="43">
        <v>206</v>
      </c>
      <c r="HA6" s="43">
        <v>207</v>
      </c>
      <c r="HB6" s="43">
        <v>208</v>
      </c>
      <c r="HC6" s="43">
        <v>209</v>
      </c>
      <c r="HD6" s="43">
        <v>210</v>
      </c>
      <c r="HE6" s="43">
        <v>211</v>
      </c>
      <c r="HF6" s="43">
        <v>212</v>
      </c>
      <c r="HG6" s="43">
        <v>213</v>
      </c>
      <c r="HH6" s="43">
        <v>214</v>
      </c>
      <c r="HI6" s="43">
        <v>215</v>
      </c>
      <c r="HJ6" s="43">
        <v>216</v>
      </c>
      <c r="HK6" s="43">
        <v>217</v>
      </c>
      <c r="HL6" s="43">
        <v>218</v>
      </c>
      <c r="HM6" s="43">
        <v>219</v>
      </c>
      <c r="HN6" s="43">
        <v>220</v>
      </c>
      <c r="HO6" s="43">
        <v>221</v>
      </c>
      <c r="HP6" s="43">
        <v>222</v>
      </c>
      <c r="HQ6" s="43">
        <v>223</v>
      </c>
      <c r="HR6" s="43">
        <v>224</v>
      </c>
      <c r="HS6" s="43">
        <v>225</v>
      </c>
      <c r="HT6" s="43">
        <v>226</v>
      </c>
      <c r="HU6" s="43">
        <v>227</v>
      </c>
      <c r="HV6" s="43">
        <v>228</v>
      </c>
      <c r="HW6" s="43">
        <v>229</v>
      </c>
      <c r="HX6" s="43">
        <v>230</v>
      </c>
      <c r="HY6" s="43">
        <v>231</v>
      </c>
      <c r="HZ6" s="43">
        <v>232</v>
      </c>
      <c r="IA6" s="43">
        <v>233</v>
      </c>
      <c r="IB6" s="43">
        <v>234</v>
      </c>
      <c r="IC6" s="43">
        <v>235</v>
      </c>
      <c r="ID6" s="43">
        <v>236</v>
      </c>
      <c r="IE6" s="43">
        <v>237</v>
      </c>
      <c r="IF6" s="43">
        <v>238</v>
      </c>
      <c r="IG6" s="43">
        <v>239</v>
      </c>
      <c r="IH6" s="43">
        <v>240</v>
      </c>
      <c r="II6" s="43">
        <v>241</v>
      </c>
      <c r="IJ6" s="43">
        <v>242</v>
      </c>
      <c r="IK6" s="43">
        <v>243</v>
      </c>
      <c r="IL6" s="43">
        <v>244</v>
      </c>
      <c r="IM6" s="43">
        <v>245</v>
      </c>
      <c r="IN6" s="43">
        <v>246</v>
      </c>
      <c r="IO6" s="43">
        <v>247</v>
      </c>
      <c r="IP6" s="43">
        <v>248</v>
      </c>
      <c r="IQ6" s="43">
        <v>249</v>
      </c>
      <c r="IR6" s="43">
        <v>250</v>
      </c>
      <c r="IS6" s="43">
        <v>251</v>
      </c>
      <c r="IT6" s="43">
        <v>252</v>
      </c>
      <c r="IU6" s="43">
        <v>253</v>
      </c>
      <c r="IV6" s="43">
        <v>254</v>
      </c>
      <c r="IW6" s="43">
        <v>255</v>
      </c>
      <c r="IX6" s="43">
        <v>256</v>
      </c>
      <c r="IY6" s="43">
        <v>257</v>
      </c>
      <c r="IZ6" s="43">
        <v>258</v>
      </c>
      <c r="JA6" s="43">
        <v>259</v>
      </c>
      <c r="JB6" s="43">
        <v>260</v>
      </c>
      <c r="JC6" s="43">
        <v>261</v>
      </c>
      <c r="JD6" s="43">
        <v>262</v>
      </c>
      <c r="JE6" s="43">
        <v>263</v>
      </c>
      <c r="JF6" s="43">
        <v>264</v>
      </c>
      <c r="JG6" s="43">
        <v>265</v>
      </c>
      <c r="JH6" s="43">
        <v>266</v>
      </c>
      <c r="JI6" s="43">
        <v>267</v>
      </c>
      <c r="JJ6" s="43">
        <v>268</v>
      </c>
      <c r="JK6" s="43">
        <v>269</v>
      </c>
      <c r="JL6" s="43">
        <v>270</v>
      </c>
      <c r="JM6" s="43">
        <v>271</v>
      </c>
      <c r="JN6" s="43">
        <v>272</v>
      </c>
      <c r="JO6" s="43">
        <v>273</v>
      </c>
      <c r="JP6" s="43">
        <v>274</v>
      </c>
      <c r="JQ6" s="43">
        <v>275</v>
      </c>
      <c r="JR6" s="43">
        <v>276</v>
      </c>
      <c r="JS6" s="43">
        <v>277</v>
      </c>
      <c r="JT6" s="43">
        <v>278</v>
      </c>
      <c r="JU6" s="43">
        <v>279</v>
      </c>
      <c r="JV6" s="43">
        <v>280</v>
      </c>
      <c r="JW6" s="43">
        <v>281</v>
      </c>
      <c r="JX6" s="43">
        <v>282</v>
      </c>
      <c r="JY6" s="43">
        <v>283</v>
      </c>
      <c r="JZ6" s="43">
        <v>284</v>
      </c>
      <c r="KA6" s="43">
        <v>285</v>
      </c>
      <c r="KB6" s="43">
        <v>286</v>
      </c>
      <c r="KC6" s="43">
        <v>287</v>
      </c>
      <c r="KD6" s="43">
        <v>288</v>
      </c>
      <c r="KE6" s="43">
        <v>289</v>
      </c>
      <c r="KF6" s="43">
        <v>290</v>
      </c>
      <c r="KG6" s="43">
        <v>291</v>
      </c>
      <c r="KH6" s="43">
        <v>292</v>
      </c>
      <c r="KI6" s="43">
        <v>293</v>
      </c>
      <c r="KJ6" s="43">
        <v>294</v>
      </c>
      <c r="KK6" s="43">
        <v>295</v>
      </c>
      <c r="KL6" s="43">
        <v>296</v>
      </c>
      <c r="KM6" s="43">
        <v>297</v>
      </c>
      <c r="KN6" s="43">
        <v>298</v>
      </c>
      <c r="KO6" s="43">
        <v>299</v>
      </c>
      <c r="KP6" s="43">
        <v>300</v>
      </c>
    </row>
    <row r="7" spans="1:302" x14ac:dyDescent="0.2">
      <c r="A7" s="35" t="s">
        <v>38</v>
      </c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  <c r="CA7" s="25"/>
      <c r="CB7" s="25"/>
      <c r="CC7" s="25"/>
      <c r="CD7" s="25"/>
      <c r="CE7" s="25"/>
      <c r="CF7" s="25"/>
      <c r="CG7" s="25"/>
      <c r="CH7" s="25"/>
      <c r="CI7" s="25"/>
      <c r="CJ7" s="25"/>
      <c r="CK7" s="25"/>
      <c r="CL7" s="25"/>
      <c r="CM7" s="25"/>
      <c r="CN7" s="25"/>
      <c r="CO7" s="25"/>
      <c r="CP7" s="25"/>
      <c r="CQ7" s="25"/>
      <c r="CR7" s="25"/>
      <c r="CS7" s="25"/>
      <c r="CT7" s="25"/>
      <c r="CU7" s="25"/>
      <c r="CV7" s="25"/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25"/>
      <c r="EP7" s="25"/>
      <c r="EQ7" s="25"/>
      <c r="ER7" s="25"/>
      <c r="ES7" s="25"/>
      <c r="ET7" s="25"/>
      <c r="EU7" s="25"/>
      <c r="EV7" s="25"/>
      <c r="EW7" s="25"/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25"/>
      <c r="FL7" s="25"/>
      <c r="FM7" s="25"/>
      <c r="FN7" s="25"/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25"/>
      <c r="GO7" s="25"/>
      <c r="GP7" s="25"/>
      <c r="GQ7" s="25"/>
      <c r="GR7" s="25"/>
      <c r="GS7" s="25"/>
      <c r="GT7" s="25"/>
      <c r="GU7" s="25"/>
      <c r="GV7" s="25"/>
      <c r="GW7" s="25"/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25"/>
      <c r="JR7" s="25"/>
      <c r="JS7" s="25"/>
      <c r="JT7" s="25"/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25"/>
      <c r="KP7" s="25"/>
    </row>
    <row r="8" spans="1:302" x14ac:dyDescent="0.2">
      <c r="A8" s="36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25"/>
      <c r="JR8" s="25"/>
      <c r="JS8" s="25"/>
      <c r="JT8" s="25"/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25"/>
      <c r="KP8" s="25"/>
    </row>
    <row r="9" spans="1:302" x14ac:dyDescent="0.2">
      <c r="A9" s="36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25"/>
      <c r="JR9" s="25"/>
      <c r="JS9" s="25"/>
      <c r="JT9" s="25"/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</row>
    <row r="10" spans="1:302" x14ac:dyDescent="0.2">
      <c r="A10" s="36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25"/>
      <c r="JR10" s="25"/>
      <c r="JS10" s="25"/>
      <c r="JT10" s="25"/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25"/>
      <c r="KP10" s="25"/>
    </row>
    <row r="11" spans="1:302" x14ac:dyDescent="0.2">
      <c r="A11" s="36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25"/>
      <c r="JR11" s="25"/>
      <c r="JS11" s="25"/>
      <c r="JT11" s="25"/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</row>
    <row r="12" spans="1:302" x14ac:dyDescent="0.2">
      <c r="A12" s="36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25"/>
      <c r="HI12" s="25"/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25"/>
      <c r="JR12" s="25"/>
      <c r="JS12" s="25"/>
      <c r="JT12" s="25"/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25"/>
      <c r="KP12" s="25"/>
    </row>
    <row r="13" spans="1:302" x14ac:dyDescent="0.2">
      <c r="A13" s="3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  <c r="CL13" s="25"/>
      <c r="CM13" s="25"/>
      <c r="CN13" s="25"/>
      <c r="CO13" s="25"/>
      <c r="CP13" s="25"/>
      <c r="CQ13" s="25"/>
      <c r="CR13" s="25"/>
      <c r="CS13" s="25"/>
      <c r="CT13" s="25"/>
      <c r="CU13" s="25"/>
      <c r="CV13" s="25"/>
      <c r="CW13" s="25"/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25"/>
      <c r="HI13" s="25"/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25"/>
      <c r="JR13" s="25"/>
      <c r="JS13" s="25"/>
      <c r="JT13" s="25"/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25"/>
      <c r="KP13" s="25"/>
    </row>
    <row r="14" spans="1:302" x14ac:dyDescent="0.2">
      <c r="A14" s="36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25"/>
      <c r="CN14" s="2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25"/>
      <c r="EV14" s="25"/>
      <c r="EW14" s="25"/>
      <c r="EX14" s="25"/>
      <c r="EY14" s="25"/>
      <c r="EZ14" s="25"/>
      <c r="FA14" s="25"/>
      <c r="FB14" s="25"/>
      <c r="FC14" s="25"/>
      <c r="FD14" s="25"/>
      <c r="FE14" s="25"/>
      <c r="FF14" s="25"/>
      <c r="FG14" s="25"/>
      <c r="FH14" s="25"/>
      <c r="FI14" s="25"/>
      <c r="FJ14" s="25"/>
      <c r="FK14" s="25"/>
      <c r="FL14" s="25"/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25"/>
      <c r="HI14" s="25"/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25"/>
      <c r="JR14" s="25"/>
      <c r="JS14" s="25"/>
      <c r="JT14" s="25"/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25"/>
      <c r="KP14" s="25"/>
    </row>
    <row r="15" spans="1:302" x14ac:dyDescent="0.2">
      <c r="A15" s="3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5"/>
      <c r="CP15" s="25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25"/>
      <c r="EP15" s="25"/>
      <c r="EQ15" s="25"/>
      <c r="ER15" s="25"/>
      <c r="ES15" s="25"/>
      <c r="ET15" s="25"/>
      <c r="EU15" s="25"/>
      <c r="EV15" s="25"/>
      <c r="EW15" s="25"/>
      <c r="EX15" s="25"/>
      <c r="EY15" s="25"/>
      <c r="EZ15" s="25"/>
      <c r="FA15" s="25"/>
      <c r="FB15" s="25"/>
      <c r="FC15" s="25"/>
      <c r="FD15" s="25"/>
      <c r="FE15" s="25"/>
      <c r="FF15" s="25"/>
      <c r="FG15" s="25"/>
      <c r="FH15" s="25"/>
      <c r="FI15" s="25"/>
      <c r="FJ15" s="25"/>
      <c r="FK15" s="25"/>
      <c r="FL15" s="25"/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25"/>
      <c r="HD15" s="25"/>
      <c r="HE15" s="25"/>
      <c r="HF15" s="25"/>
      <c r="HG15" s="25"/>
      <c r="HH15" s="25"/>
      <c r="HI15" s="25"/>
      <c r="HJ15" s="25"/>
      <c r="HK15" s="25"/>
      <c r="HL15" s="25"/>
      <c r="HM15" s="25"/>
      <c r="HN15" s="25"/>
      <c r="HO15" s="25"/>
      <c r="HP15" s="25"/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25"/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25"/>
      <c r="JM15" s="25"/>
      <c r="JN15" s="25"/>
      <c r="JO15" s="25"/>
      <c r="JP15" s="25"/>
      <c r="JQ15" s="25"/>
      <c r="JR15" s="25"/>
      <c r="JS15" s="25"/>
      <c r="JT15" s="25"/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25"/>
      <c r="KP15" s="25"/>
    </row>
    <row r="16" spans="1:302" s="30" customFormat="1" x14ac:dyDescent="0.2">
      <c r="A16" s="37" t="s">
        <v>36</v>
      </c>
      <c r="B16" s="44">
        <f t="shared" ref="B16:U16" si="0">SUM(B8:B15)</f>
        <v>0</v>
      </c>
      <c r="C16" s="44">
        <f t="shared" si="0"/>
        <v>0</v>
      </c>
      <c r="D16" s="44">
        <f t="shared" si="0"/>
        <v>0</v>
      </c>
      <c r="E16" s="44">
        <f t="shared" si="0"/>
        <v>0</v>
      </c>
      <c r="F16" s="44">
        <f t="shared" si="0"/>
        <v>0</v>
      </c>
      <c r="G16" s="44">
        <f t="shared" si="0"/>
        <v>0</v>
      </c>
      <c r="H16" s="44">
        <f t="shared" si="0"/>
        <v>0</v>
      </c>
      <c r="I16" s="44">
        <f t="shared" si="0"/>
        <v>0</v>
      </c>
      <c r="J16" s="44">
        <f t="shared" si="0"/>
        <v>0</v>
      </c>
      <c r="K16" s="44">
        <f t="shared" si="0"/>
        <v>0</v>
      </c>
      <c r="L16" s="44">
        <f t="shared" si="0"/>
        <v>0</v>
      </c>
      <c r="M16" s="44">
        <f t="shared" si="0"/>
        <v>0</v>
      </c>
      <c r="N16" s="44">
        <f t="shared" si="0"/>
        <v>0</v>
      </c>
      <c r="O16" s="44">
        <f t="shared" si="0"/>
        <v>0</v>
      </c>
      <c r="P16" s="44">
        <f t="shared" si="0"/>
        <v>0</v>
      </c>
      <c r="Q16" s="44">
        <f t="shared" si="0"/>
        <v>0</v>
      </c>
      <c r="R16" s="44">
        <f t="shared" si="0"/>
        <v>0</v>
      </c>
      <c r="S16" s="44">
        <f t="shared" si="0"/>
        <v>0</v>
      </c>
      <c r="T16" s="44">
        <f t="shared" si="0"/>
        <v>0</v>
      </c>
      <c r="U16" s="44">
        <f t="shared" si="0"/>
        <v>0</v>
      </c>
      <c r="V16" s="44">
        <f t="shared" ref="V16:BN16" si="1">SUM(V8:V15)</f>
        <v>0</v>
      </c>
      <c r="W16" s="44">
        <f t="shared" si="1"/>
        <v>0</v>
      </c>
      <c r="X16" s="44">
        <f t="shared" si="1"/>
        <v>0</v>
      </c>
      <c r="Y16" s="44">
        <f t="shared" si="1"/>
        <v>0</v>
      </c>
      <c r="Z16" s="44">
        <f t="shared" si="1"/>
        <v>0</v>
      </c>
      <c r="AA16" s="44">
        <f t="shared" si="1"/>
        <v>0</v>
      </c>
      <c r="AB16" s="44">
        <f t="shared" si="1"/>
        <v>0</v>
      </c>
      <c r="AC16" s="44">
        <f t="shared" si="1"/>
        <v>0</v>
      </c>
      <c r="AD16" s="44">
        <f t="shared" si="1"/>
        <v>0</v>
      </c>
      <c r="AE16" s="44">
        <f t="shared" si="1"/>
        <v>0</v>
      </c>
      <c r="AF16" s="44">
        <f t="shared" si="1"/>
        <v>0</v>
      </c>
      <c r="AG16" s="44">
        <f t="shared" si="1"/>
        <v>0</v>
      </c>
      <c r="AH16" s="44">
        <f t="shared" si="1"/>
        <v>0</v>
      </c>
      <c r="AI16" s="44">
        <f t="shared" si="1"/>
        <v>0</v>
      </c>
      <c r="AJ16" s="44">
        <f t="shared" si="1"/>
        <v>0</v>
      </c>
      <c r="AK16" s="44">
        <f t="shared" si="1"/>
        <v>0</v>
      </c>
      <c r="AL16" s="44">
        <f t="shared" si="1"/>
        <v>0</v>
      </c>
      <c r="AM16" s="44">
        <f t="shared" si="1"/>
        <v>0</v>
      </c>
      <c r="AN16" s="44">
        <f t="shared" si="1"/>
        <v>0</v>
      </c>
      <c r="AO16" s="44">
        <f t="shared" si="1"/>
        <v>0</v>
      </c>
      <c r="AP16" s="44">
        <f t="shared" si="1"/>
        <v>0</v>
      </c>
      <c r="AQ16" s="44">
        <f t="shared" si="1"/>
        <v>0</v>
      </c>
      <c r="AR16" s="44">
        <f t="shared" si="1"/>
        <v>0</v>
      </c>
      <c r="AS16" s="44">
        <f t="shared" si="1"/>
        <v>0</v>
      </c>
      <c r="AT16" s="44">
        <f t="shared" si="1"/>
        <v>0</v>
      </c>
      <c r="AU16" s="44">
        <f t="shared" si="1"/>
        <v>0</v>
      </c>
      <c r="AV16" s="44">
        <f t="shared" si="1"/>
        <v>0</v>
      </c>
      <c r="AW16" s="44">
        <f t="shared" si="1"/>
        <v>0</v>
      </c>
      <c r="AX16" s="44">
        <f t="shared" si="1"/>
        <v>0</v>
      </c>
      <c r="AY16" s="44">
        <f t="shared" si="1"/>
        <v>0</v>
      </c>
      <c r="AZ16" s="44">
        <f t="shared" si="1"/>
        <v>0</v>
      </c>
      <c r="BA16" s="44">
        <f t="shared" si="1"/>
        <v>0</v>
      </c>
      <c r="BB16" s="44">
        <f t="shared" si="1"/>
        <v>0</v>
      </c>
      <c r="BC16" s="44">
        <f t="shared" si="1"/>
        <v>0</v>
      </c>
      <c r="BD16" s="44">
        <f t="shared" si="1"/>
        <v>0</v>
      </c>
      <c r="BE16" s="44">
        <f t="shared" si="1"/>
        <v>0</v>
      </c>
      <c r="BF16" s="44">
        <f t="shared" si="1"/>
        <v>0</v>
      </c>
      <c r="BG16" s="44">
        <f t="shared" si="1"/>
        <v>0</v>
      </c>
      <c r="BH16" s="44">
        <f t="shared" si="1"/>
        <v>0</v>
      </c>
      <c r="BI16" s="44">
        <f t="shared" si="1"/>
        <v>0</v>
      </c>
      <c r="BJ16" s="44">
        <f t="shared" si="1"/>
        <v>0</v>
      </c>
      <c r="BK16" s="44">
        <f t="shared" si="1"/>
        <v>0</v>
      </c>
      <c r="BL16" s="44">
        <f t="shared" si="1"/>
        <v>0</v>
      </c>
      <c r="BM16" s="44">
        <f t="shared" si="1"/>
        <v>0</v>
      </c>
      <c r="BN16" s="44">
        <f t="shared" si="1"/>
        <v>0</v>
      </c>
      <c r="BO16" s="44">
        <f t="shared" ref="BO16:DE16" si="2">SUM(BO8:BO15)</f>
        <v>0</v>
      </c>
      <c r="BP16" s="44">
        <f t="shared" si="2"/>
        <v>0</v>
      </c>
      <c r="BQ16" s="44">
        <f t="shared" si="2"/>
        <v>0</v>
      </c>
      <c r="BR16" s="44">
        <f t="shared" si="2"/>
        <v>0</v>
      </c>
      <c r="BS16" s="44">
        <f t="shared" si="2"/>
        <v>0</v>
      </c>
      <c r="BT16" s="44">
        <f t="shared" si="2"/>
        <v>0</v>
      </c>
      <c r="BU16" s="44">
        <f t="shared" si="2"/>
        <v>0</v>
      </c>
      <c r="BV16" s="44">
        <f t="shared" si="2"/>
        <v>0</v>
      </c>
      <c r="BW16" s="44">
        <f t="shared" si="2"/>
        <v>0</v>
      </c>
      <c r="BX16" s="44">
        <f t="shared" si="2"/>
        <v>0</v>
      </c>
      <c r="BY16" s="44">
        <f t="shared" si="2"/>
        <v>0</v>
      </c>
      <c r="BZ16" s="44">
        <f t="shared" si="2"/>
        <v>0</v>
      </c>
      <c r="CA16" s="44">
        <f t="shared" si="2"/>
        <v>0</v>
      </c>
      <c r="CB16" s="44">
        <f t="shared" si="2"/>
        <v>0</v>
      </c>
      <c r="CC16" s="44">
        <f t="shared" si="2"/>
        <v>0</v>
      </c>
      <c r="CD16" s="44">
        <f t="shared" si="2"/>
        <v>0</v>
      </c>
      <c r="CE16" s="44">
        <f t="shared" si="2"/>
        <v>0</v>
      </c>
      <c r="CF16" s="44">
        <f t="shared" si="2"/>
        <v>0</v>
      </c>
      <c r="CG16" s="44">
        <f t="shared" si="2"/>
        <v>0</v>
      </c>
      <c r="CH16" s="44">
        <f t="shared" si="2"/>
        <v>0</v>
      </c>
      <c r="CI16" s="44">
        <f t="shared" si="2"/>
        <v>0</v>
      </c>
      <c r="CJ16" s="44">
        <f t="shared" si="2"/>
        <v>0</v>
      </c>
      <c r="CK16" s="44">
        <f t="shared" si="2"/>
        <v>0</v>
      </c>
      <c r="CL16" s="44">
        <f t="shared" si="2"/>
        <v>0</v>
      </c>
      <c r="CM16" s="44">
        <f t="shared" si="2"/>
        <v>0</v>
      </c>
      <c r="CN16" s="44">
        <f t="shared" si="2"/>
        <v>0</v>
      </c>
      <c r="CO16" s="44">
        <f t="shared" si="2"/>
        <v>0</v>
      </c>
      <c r="CP16" s="44">
        <f t="shared" si="2"/>
        <v>0</v>
      </c>
      <c r="CQ16" s="44">
        <f t="shared" si="2"/>
        <v>0</v>
      </c>
      <c r="CR16" s="44">
        <f t="shared" si="2"/>
        <v>0</v>
      </c>
      <c r="CS16" s="44">
        <f t="shared" si="2"/>
        <v>0</v>
      </c>
      <c r="CT16" s="44">
        <f t="shared" si="2"/>
        <v>0</v>
      </c>
      <c r="CU16" s="44">
        <f t="shared" si="2"/>
        <v>0</v>
      </c>
      <c r="CV16" s="44">
        <f t="shared" si="2"/>
        <v>0</v>
      </c>
      <c r="CW16" s="44">
        <f t="shared" si="2"/>
        <v>0</v>
      </c>
      <c r="CX16" s="44">
        <f t="shared" si="2"/>
        <v>0</v>
      </c>
      <c r="CY16" s="44">
        <f t="shared" si="2"/>
        <v>0</v>
      </c>
      <c r="CZ16" s="44">
        <f t="shared" si="2"/>
        <v>0</v>
      </c>
      <c r="DA16" s="44">
        <f t="shared" si="2"/>
        <v>0</v>
      </c>
      <c r="DB16" s="44">
        <f t="shared" si="2"/>
        <v>0</v>
      </c>
      <c r="DC16" s="44">
        <f t="shared" si="2"/>
        <v>0</v>
      </c>
      <c r="DD16" s="44">
        <f t="shared" si="2"/>
        <v>0</v>
      </c>
      <c r="DE16" s="44">
        <f t="shared" si="2"/>
        <v>0</v>
      </c>
      <c r="DF16" s="44">
        <f t="shared" ref="DF16:EL16" si="3">SUM(DF8:DF15)</f>
        <v>0</v>
      </c>
      <c r="DG16" s="44">
        <f t="shared" si="3"/>
        <v>0</v>
      </c>
      <c r="DH16" s="44">
        <f t="shared" si="3"/>
        <v>0</v>
      </c>
      <c r="DI16" s="44">
        <f t="shared" si="3"/>
        <v>0</v>
      </c>
      <c r="DJ16" s="44">
        <f t="shared" si="3"/>
        <v>0</v>
      </c>
      <c r="DK16" s="44">
        <f t="shared" si="3"/>
        <v>0</v>
      </c>
      <c r="DL16" s="44">
        <f t="shared" si="3"/>
        <v>0</v>
      </c>
      <c r="DM16" s="44">
        <f t="shared" si="3"/>
        <v>0</v>
      </c>
      <c r="DN16" s="44">
        <f t="shared" si="3"/>
        <v>0</v>
      </c>
      <c r="DO16" s="44">
        <f t="shared" si="3"/>
        <v>0</v>
      </c>
      <c r="DP16" s="44">
        <f t="shared" si="3"/>
        <v>0</v>
      </c>
      <c r="DQ16" s="44">
        <f t="shared" si="3"/>
        <v>0</v>
      </c>
      <c r="DR16" s="44">
        <f t="shared" si="3"/>
        <v>0</v>
      </c>
      <c r="DS16" s="44">
        <f t="shared" si="3"/>
        <v>0</v>
      </c>
      <c r="DT16" s="44">
        <f t="shared" si="3"/>
        <v>0</v>
      </c>
      <c r="DU16" s="44">
        <f t="shared" si="3"/>
        <v>0</v>
      </c>
      <c r="DV16" s="44">
        <f t="shared" si="3"/>
        <v>0</v>
      </c>
      <c r="DW16" s="44">
        <f t="shared" si="3"/>
        <v>0</v>
      </c>
      <c r="DX16" s="44">
        <f t="shared" si="3"/>
        <v>0</v>
      </c>
      <c r="DY16" s="44">
        <f t="shared" si="3"/>
        <v>0</v>
      </c>
      <c r="DZ16" s="44">
        <f t="shared" si="3"/>
        <v>0</v>
      </c>
      <c r="EA16" s="44">
        <f t="shared" si="3"/>
        <v>0</v>
      </c>
      <c r="EB16" s="44">
        <f t="shared" si="3"/>
        <v>0</v>
      </c>
      <c r="EC16" s="44">
        <f t="shared" si="3"/>
        <v>0</v>
      </c>
      <c r="ED16" s="44">
        <f t="shared" si="3"/>
        <v>0</v>
      </c>
      <c r="EE16" s="44">
        <f t="shared" si="3"/>
        <v>0</v>
      </c>
      <c r="EF16" s="44">
        <f t="shared" si="3"/>
        <v>0</v>
      </c>
      <c r="EG16" s="44">
        <f t="shared" si="3"/>
        <v>0</v>
      </c>
      <c r="EH16" s="44">
        <f t="shared" si="3"/>
        <v>0</v>
      </c>
      <c r="EI16" s="44">
        <f t="shared" si="3"/>
        <v>0</v>
      </c>
      <c r="EJ16" s="44">
        <f t="shared" si="3"/>
        <v>0</v>
      </c>
      <c r="EK16" s="44">
        <f t="shared" si="3"/>
        <v>0</v>
      </c>
      <c r="EL16" s="44">
        <f t="shared" si="3"/>
        <v>0</v>
      </c>
      <c r="EM16" s="44">
        <f t="shared" ref="EM16:GX16" si="4">SUM(EM8:EM15)</f>
        <v>0</v>
      </c>
      <c r="EN16" s="44">
        <f t="shared" si="4"/>
        <v>0</v>
      </c>
      <c r="EO16" s="44">
        <f t="shared" si="4"/>
        <v>0</v>
      </c>
      <c r="EP16" s="44">
        <f t="shared" si="4"/>
        <v>0</v>
      </c>
      <c r="EQ16" s="44">
        <f t="shared" si="4"/>
        <v>0</v>
      </c>
      <c r="ER16" s="44">
        <f t="shared" si="4"/>
        <v>0</v>
      </c>
      <c r="ES16" s="44">
        <f t="shared" si="4"/>
        <v>0</v>
      </c>
      <c r="ET16" s="44">
        <f t="shared" si="4"/>
        <v>0</v>
      </c>
      <c r="EU16" s="44">
        <f t="shared" si="4"/>
        <v>0</v>
      </c>
      <c r="EV16" s="44">
        <f t="shared" si="4"/>
        <v>0</v>
      </c>
      <c r="EW16" s="44">
        <f t="shared" si="4"/>
        <v>0</v>
      </c>
      <c r="EX16" s="44">
        <f t="shared" si="4"/>
        <v>0</v>
      </c>
      <c r="EY16" s="44">
        <f t="shared" si="4"/>
        <v>0</v>
      </c>
      <c r="EZ16" s="44">
        <f t="shared" si="4"/>
        <v>0</v>
      </c>
      <c r="FA16" s="44">
        <f t="shared" si="4"/>
        <v>0</v>
      </c>
      <c r="FB16" s="44">
        <f t="shared" si="4"/>
        <v>0</v>
      </c>
      <c r="FC16" s="44">
        <f t="shared" si="4"/>
        <v>0</v>
      </c>
      <c r="FD16" s="44">
        <f t="shared" si="4"/>
        <v>0</v>
      </c>
      <c r="FE16" s="44">
        <f t="shared" si="4"/>
        <v>0</v>
      </c>
      <c r="FF16" s="44">
        <f t="shared" si="4"/>
        <v>0</v>
      </c>
      <c r="FG16" s="44">
        <f t="shared" si="4"/>
        <v>0</v>
      </c>
      <c r="FH16" s="44">
        <f t="shared" si="4"/>
        <v>0</v>
      </c>
      <c r="FI16" s="44">
        <f t="shared" si="4"/>
        <v>0</v>
      </c>
      <c r="FJ16" s="44">
        <f t="shared" si="4"/>
        <v>0</v>
      </c>
      <c r="FK16" s="44">
        <f t="shared" si="4"/>
        <v>0</v>
      </c>
      <c r="FL16" s="44">
        <f t="shared" si="4"/>
        <v>0</v>
      </c>
      <c r="FM16" s="44">
        <f t="shared" si="4"/>
        <v>0</v>
      </c>
      <c r="FN16" s="44">
        <f t="shared" si="4"/>
        <v>0</v>
      </c>
      <c r="FO16" s="44">
        <f t="shared" si="4"/>
        <v>0</v>
      </c>
      <c r="FP16" s="44">
        <f t="shared" si="4"/>
        <v>0</v>
      </c>
      <c r="FQ16" s="44">
        <f t="shared" si="4"/>
        <v>0</v>
      </c>
      <c r="FR16" s="44">
        <f t="shared" si="4"/>
        <v>0</v>
      </c>
      <c r="FS16" s="44">
        <f t="shared" si="4"/>
        <v>0</v>
      </c>
      <c r="FT16" s="44">
        <f t="shared" si="4"/>
        <v>0</v>
      </c>
      <c r="FU16" s="44">
        <f t="shared" si="4"/>
        <v>0</v>
      </c>
      <c r="FV16" s="44">
        <f t="shared" si="4"/>
        <v>0</v>
      </c>
      <c r="FW16" s="44">
        <f t="shared" si="4"/>
        <v>0</v>
      </c>
      <c r="FX16" s="44">
        <f t="shared" si="4"/>
        <v>0</v>
      </c>
      <c r="FY16" s="44">
        <f t="shared" si="4"/>
        <v>0</v>
      </c>
      <c r="FZ16" s="44">
        <f t="shared" si="4"/>
        <v>0</v>
      </c>
      <c r="GA16" s="44">
        <f t="shared" si="4"/>
        <v>0</v>
      </c>
      <c r="GB16" s="44">
        <f t="shared" si="4"/>
        <v>0</v>
      </c>
      <c r="GC16" s="44">
        <f t="shared" si="4"/>
        <v>0</v>
      </c>
      <c r="GD16" s="44">
        <f t="shared" si="4"/>
        <v>0</v>
      </c>
      <c r="GE16" s="44">
        <f t="shared" si="4"/>
        <v>0</v>
      </c>
      <c r="GF16" s="44">
        <f t="shared" si="4"/>
        <v>0</v>
      </c>
      <c r="GG16" s="44">
        <f t="shared" si="4"/>
        <v>0</v>
      </c>
      <c r="GH16" s="44">
        <f t="shared" si="4"/>
        <v>0</v>
      </c>
      <c r="GI16" s="44">
        <f t="shared" si="4"/>
        <v>0</v>
      </c>
      <c r="GJ16" s="44">
        <f t="shared" si="4"/>
        <v>0</v>
      </c>
      <c r="GK16" s="44">
        <f t="shared" si="4"/>
        <v>0</v>
      </c>
      <c r="GL16" s="44">
        <f t="shared" si="4"/>
        <v>0</v>
      </c>
      <c r="GM16" s="44">
        <f t="shared" si="4"/>
        <v>0</v>
      </c>
      <c r="GN16" s="44">
        <f t="shared" si="4"/>
        <v>0</v>
      </c>
      <c r="GO16" s="44">
        <f t="shared" si="4"/>
        <v>0</v>
      </c>
      <c r="GP16" s="44">
        <f t="shared" si="4"/>
        <v>0</v>
      </c>
      <c r="GQ16" s="44">
        <f t="shared" si="4"/>
        <v>0</v>
      </c>
      <c r="GR16" s="44">
        <f t="shared" si="4"/>
        <v>0</v>
      </c>
      <c r="GS16" s="44">
        <f t="shared" si="4"/>
        <v>0</v>
      </c>
      <c r="GT16" s="44">
        <f t="shared" si="4"/>
        <v>0</v>
      </c>
      <c r="GU16" s="44">
        <f t="shared" si="4"/>
        <v>0</v>
      </c>
      <c r="GV16" s="44">
        <f t="shared" si="4"/>
        <v>0</v>
      </c>
      <c r="GW16" s="44">
        <f t="shared" si="4"/>
        <v>0</v>
      </c>
      <c r="GX16" s="44">
        <f t="shared" si="4"/>
        <v>0</v>
      </c>
      <c r="GY16" s="44">
        <f t="shared" ref="GY16:JJ16" si="5">SUM(GY8:GY15)</f>
        <v>0</v>
      </c>
      <c r="GZ16" s="44">
        <f t="shared" si="5"/>
        <v>0</v>
      </c>
      <c r="HA16" s="44">
        <f t="shared" si="5"/>
        <v>0</v>
      </c>
      <c r="HB16" s="44">
        <f t="shared" si="5"/>
        <v>0</v>
      </c>
      <c r="HC16" s="44">
        <f t="shared" si="5"/>
        <v>0</v>
      </c>
      <c r="HD16" s="44">
        <f t="shared" si="5"/>
        <v>0</v>
      </c>
      <c r="HE16" s="44">
        <f t="shared" si="5"/>
        <v>0</v>
      </c>
      <c r="HF16" s="44">
        <f t="shared" si="5"/>
        <v>0</v>
      </c>
      <c r="HG16" s="44">
        <f t="shared" si="5"/>
        <v>0</v>
      </c>
      <c r="HH16" s="44">
        <f t="shared" si="5"/>
        <v>0</v>
      </c>
      <c r="HI16" s="44">
        <f t="shared" si="5"/>
        <v>0</v>
      </c>
      <c r="HJ16" s="44">
        <f t="shared" si="5"/>
        <v>0</v>
      </c>
      <c r="HK16" s="44">
        <f t="shared" si="5"/>
        <v>0</v>
      </c>
      <c r="HL16" s="44">
        <f t="shared" si="5"/>
        <v>0</v>
      </c>
      <c r="HM16" s="44">
        <f t="shared" si="5"/>
        <v>0</v>
      </c>
      <c r="HN16" s="44">
        <f t="shared" si="5"/>
        <v>0</v>
      </c>
      <c r="HO16" s="44">
        <f t="shared" si="5"/>
        <v>0</v>
      </c>
      <c r="HP16" s="44">
        <f t="shared" si="5"/>
        <v>0</v>
      </c>
      <c r="HQ16" s="44">
        <f t="shared" si="5"/>
        <v>0</v>
      </c>
      <c r="HR16" s="44">
        <f t="shared" si="5"/>
        <v>0</v>
      </c>
      <c r="HS16" s="44">
        <f t="shared" si="5"/>
        <v>0</v>
      </c>
      <c r="HT16" s="44">
        <f t="shared" si="5"/>
        <v>0</v>
      </c>
      <c r="HU16" s="44">
        <f t="shared" si="5"/>
        <v>0</v>
      </c>
      <c r="HV16" s="44">
        <f t="shared" si="5"/>
        <v>0</v>
      </c>
      <c r="HW16" s="44">
        <f t="shared" si="5"/>
        <v>0</v>
      </c>
      <c r="HX16" s="44">
        <f t="shared" si="5"/>
        <v>0</v>
      </c>
      <c r="HY16" s="44">
        <f t="shared" si="5"/>
        <v>0</v>
      </c>
      <c r="HZ16" s="44">
        <f t="shared" si="5"/>
        <v>0</v>
      </c>
      <c r="IA16" s="44">
        <f t="shared" si="5"/>
        <v>0</v>
      </c>
      <c r="IB16" s="44">
        <f t="shared" si="5"/>
        <v>0</v>
      </c>
      <c r="IC16" s="44">
        <f t="shared" si="5"/>
        <v>0</v>
      </c>
      <c r="ID16" s="44">
        <f t="shared" si="5"/>
        <v>0</v>
      </c>
      <c r="IE16" s="44">
        <f t="shared" si="5"/>
        <v>0</v>
      </c>
      <c r="IF16" s="44">
        <f t="shared" si="5"/>
        <v>0</v>
      </c>
      <c r="IG16" s="44">
        <f t="shared" si="5"/>
        <v>0</v>
      </c>
      <c r="IH16" s="44">
        <f t="shared" si="5"/>
        <v>0</v>
      </c>
      <c r="II16" s="44">
        <f t="shared" si="5"/>
        <v>0</v>
      </c>
      <c r="IJ16" s="44">
        <f t="shared" si="5"/>
        <v>0</v>
      </c>
      <c r="IK16" s="44">
        <f t="shared" si="5"/>
        <v>0</v>
      </c>
      <c r="IL16" s="44">
        <f t="shared" si="5"/>
        <v>0</v>
      </c>
      <c r="IM16" s="44">
        <f t="shared" si="5"/>
        <v>0</v>
      </c>
      <c r="IN16" s="44">
        <f t="shared" si="5"/>
        <v>0</v>
      </c>
      <c r="IO16" s="44">
        <f t="shared" si="5"/>
        <v>0</v>
      </c>
      <c r="IP16" s="44">
        <f t="shared" si="5"/>
        <v>0</v>
      </c>
      <c r="IQ16" s="44">
        <f t="shared" si="5"/>
        <v>0</v>
      </c>
      <c r="IR16" s="44">
        <f t="shared" si="5"/>
        <v>0</v>
      </c>
      <c r="IS16" s="44">
        <f t="shared" si="5"/>
        <v>0</v>
      </c>
      <c r="IT16" s="44">
        <f t="shared" si="5"/>
        <v>0</v>
      </c>
      <c r="IU16" s="44">
        <f t="shared" si="5"/>
        <v>0</v>
      </c>
      <c r="IV16" s="44">
        <f t="shared" si="5"/>
        <v>0</v>
      </c>
      <c r="IW16" s="44">
        <f t="shared" si="5"/>
        <v>0</v>
      </c>
      <c r="IX16" s="44">
        <f t="shared" si="5"/>
        <v>0</v>
      </c>
      <c r="IY16" s="44">
        <f t="shared" si="5"/>
        <v>0</v>
      </c>
      <c r="IZ16" s="44">
        <f t="shared" si="5"/>
        <v>0</v>
      </c>
      <c r="JA16" s="44">
        <f t="shared" si="5"/>
        <v>0</v>
      </c>
      <c r="JB16" s="44">
        <f t="shared" si="5"/>
        <v>0</v>
      </c>
      <c r="JC16" s="44">
        <f t="shared" si="5"/>
        <v>0</v>
      </c>
      <c r="JD16" s="44">
        <f t="shared" si="5"/>
        <v>0</v>
      </c>
      <c r="JE16" s="44">
        <f t="shared" si="5"/>
        <v>0</v>
      </c>
      <c r="JF16" s="44">
        <f t="shared" si="5"/>
        <v>0</v>
      </c>
      <c r="JG16" s="44">
        <f t="shared" si="5"/>
        <v>0</v>
      </c>
      <c r="JH16" s="44">
        <f t="shared" si="5"/>
        <v>0</v>
      </c>
      <c r="JI16" s="44">
        <f t="shared" si="5"/>
        <v>0</v>
      </c>
      <c r="JJ16" s="44">
        <f t="shared" si="5"/>
        <v>0</v>
      </c>
      <c r="JK16" s="44">
        <f t="shared" ref="JK16:KO16" si="6">SUM(JK8:JK15)</f>
        <v>0</v>
      </c>
      <c r="JL16" s="44">
        <f t="shared" si="6"/>
        <v>0</v>
      </c>
      <c r="JM16" s="44">
        <f t="shared" si="6"/>
        <v>0</v>
      </c>
      <c r="JN16" s="44">
        <f t="shared" si="6"/>
        <v>0</v>
      </c>
      <c r="JO16" s="44">
        <f t="shared" si="6"/>
        <v>0</v>
      </c>
      <c r="JP16" s="44">
        <f t="shared" si="6"/>
        <v>0</v>
      </c>
      <c r="JQ16" s="44">
        <f t="shared" si="6"/>
        <v>0</v>
      </c>
      <c r="JR16" s="44">
        <f t="shared" si="6"/>
        <v>0</v>
      </c>
      <c r="JS16" s="44">
        <f t="shared" si="6"/>
        <v>0</v>
      </c>
      <c r="JT16" s="44">
        <f t="shared" si="6"/>
        <v>0</v>
      </c>
      <c r="JU16" s="44">
        <f t="shared" si="6"/>
        <v>0</v>
      </c>
      <c r="JV16" s="44">
        <f t="shared" si="6"/>
        <v>0</v>
      </c>
      <c r="JW16" s="44">
        <f t="shared" si="6"/>
        <v>0</v>
      </c>
      <c r="JX16" s="44">
        <f t="shared" si="6"/>
        <v>0</v>
      </c>
      <c r="JY16" s="44">
        <f t="shared" si="6"/>
        <v>0</v>
      </c>
      <c r="JZ16" s="44">
        <f t="shared" si="6"/>
        <v>0</v>
      </c>
      <c r="KA16" s="44">
        <f t="shared" si="6"/>
        <v>0</v>
      </c>
      <c r="KB16" s="44">
        <f t="shared" si="6"/>
        <v>0</v>
      </c>
      <c r="KC16" s="44">
        <f t="shared" si="6"/>
        <v>0</v>
      </c>
      <c r="KD16" s="44">
        <f t="shared" si="6"/>
        <v>0</v>
      </c>
      <c r="KE16" s="44">
        <f t="shared" si="6"/>
        <v>0</v>
      </c>
      <c r="KF16" s="44">
        <f t="shared" si="6"/>
        <v>0</v>
      </c>
      <c r="KG16" s="44">
        <f t="shared" si="6"/>
        <v>0</v>
      </c>
      <c r="KH16" s="44">
        <f t="shared" si="6"/>
        <v>0</v>
      </c>
      <c r="KI16" s="44">
        <f t="shared" si="6"/>
        <v>0</v>
      </c>
      <c r="KJ16" s="44">
        <f t="shared" si="6"/>
        <v>0</v>
      </c>
      <c r="KK16" s="44">
        <f t="shared" si="6"/>
        <v>0</v>
      </c>
      <c r="KL16" s="44">
        <f t="shared" si="6"/>
        <v>0</v>
      </c>
      <c r="KM16" s="44">
        <f t="shared" si="6"/>
        <v>0</v>
      </c>
      <c r="KN16" s="44">
        <f t="shared" si="6"/>
        <v>0</v>
      </c>
      <c r="KO16" s="44">
        <f t="shared" si="6"/>
        <v>0</v>
      </c>
      <c r="KP16" s="44">
        <f t="shared" ref="KP16" si="7">SUM(KP8:KP15)</f>
        <v>0</v>
      </c>
    </row>
    <row r="17" spans="1:302" x14ac:dyDescent="0.2">
      <c r="A17" s="38" t="s">
        <v>39</v>
      </c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25"/>
      <c r="CN17" s="25"/>
      <c r="CO17" s="25"/>
      <c r="CP17" s="25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25"/>
      <c r="EV17" s="25"/>
      <c r="EW17" s="25"/>
      <c r="EX17" s="25"/>
      <c r="EY17" s="25"/>
      <c r="EZ17" s="25"/>
      <c r="FA17" s="25"/>
      <c r="FB17" s="25"/>
      <c r="FC17" s="25"/>
      <c r="FD17" s="25"/>
      <c r="FE17" s="25"/>
      <c r="FF17" s="25"/>
      <c r="FG17" s="25"/>
      <c r="FH17" s="25"/>
      <c r="FI17" s="25"/>
      <c r="FJ17" s="25"/>
      <c r="FK17" s="25"/>
      <c r="FL17" s="25"/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25"/>
      <c r="HD17" s="25"/>
      <c r="HE17" s="25"/>
      <c r="HF17" s="25"/>
      <c r="HG17" s="25"/>
      <c r="HH17" s="25"/>
      <c r="HI17" s="25"/>
      <c r="HJ17" s="25"/>
      <c r="HK17" s="25"/>
      <c r="HL17" s="25"/>
      <c r="HM17" s="25"/>
      <c r="HN17" s="25"/>
      <c r="HO17" s="25"/>
      <c r="HP17" s="25"/>
      <c r="HQ17" s="25"/>
      <c r="HR17" s="25"/>
      <c r="HS17" s="25"/>
      <c r="HT17" s="25"/>
      <c r="HU17" s="25"/>
      <c r="HV17" s="25"/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25"/>
      <c r="IK17" s="25"/>
      <c r="IL17" s="25"/>
      <c r="IM17" s="25"/>
      <c r="IN17" s="25"/>
      <c r="IO17" s="25"/>
      <c r="IP17" s="25"/>
      <c r="IQ17" s="25"/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25"/>
      <c r="JM17" s="25"/>
      <c r="JN17" s="25"/>
      <c r="JO17" s="25"/>
      <c r="JP17" s="25"/>
      <c r="JQ17" s="25"/>
      <c r="JR17" s="25"/>
      <c r="JS17" s="25"/>
      <c r="JT17" s="25"/>
      <c r="JU17" s="25"/>
      <c r="JV17" s="25"/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25"/>
      <c r="KO17" s="25"/>
      <c r="KP17" s="25"/>
    </row>
    <row r="18" spans="1:302" x14ac:dyDescent="0.2">
      <c r="A18" s="39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5"/>
      <c r="BP18" s="25"/>
      <c r="BQ18" s="25"/>
      <c r="BR18" s="25"/>
      <c r="BS18" s="25"/>
      <c r="BT18" s="2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  <c r="CG18" s="25"/>
      <c r="CH18" s="25"/>
      <c r="CI18" s="25"/>
      <c r="CJ18" s="25"/>
      <c r="CK18" s="25"/>
      <c r="CL18" s="25"/>
      <c r="CM18" s="25"/>
      <c r="CN18" s="25"/>
      <c r="CO18" s="25"/>
      <c r="CP18" s="25"/>
      <c r="CQ18" s="25"/>
      <c r="CR18" s="25"/>
      <c r="CS18" s="25"/>
      <c r="CT18" s="25"/>
      <c r="CU18" s="25"/>
      <c r="CV18" s="25"/>
      <c r="CW18" s="25"/>
      <c r="CX18" s="25"/>
      <c r="CY18" s="25"/>
      <c r="CZ18" s="25"/>
      <c r="DA18" s="25"/>
      <c r="DB18" s="25"/>
      <c r="DC18" s="25"/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25"/>
      <c r="EA18" s="25"/>
      <c r="EB18" s="2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25"/>
      <c r="EP18" s="25"/>
      <c r="EQ18" s="25"/>
      <c r="ER18" s="25"/>
      <c r="ES18" s="25"/>
      <c r="ET18" s="25"/>
      <c r="EU18" s="25"/>
      <c r="EV18" s="25"/>
      <c r="EW18" s="25"/>
      <c r="EX18" s="25"/>
      <c r="EY18" s="25"/>
      <c r="EZ18" s="25"/>
      <c r="FA18" s="25"/>
      <c r="FB18" s="25"/>
      <c r="FC18" s="25"/>
      <c r="FD18" s="25"/>
      <c r="FE18" s="25"/>
      <c r="FF18" s="25"/>
      <c r="FG18" s="25"/>
      <c r="FH18" s="25"/>
      <c r="FI18" s="25"/>
      <c r="FJ18" s="25"/>
      <c r="FK18" s="25"/>
      <c r="FL18" s="25"/>
      <c r="FM18" s="25"/>
      <c r="FN18" s="25"/>
      <c r="FO18" s="25"/>
      <c r="FP18" s="25"/>
      <c r="FQ18" s="25"/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25"/>
      <c r="GH18" s="25"/>
      <c r="GI18" s="25"/>
      <c r="GJ18" s="25"/>
      <c r="GK18" s="25"/>
      <c r="GL18" s="25"/>
      <c r="GM18" s="25"/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25"/>
      <c r="HD18" s="25"/>
      <c r="HE18" s="25"/>
      <c r="HF18" s="25"/>
      <c r="HG18" s="25"/>
      <c r="HH18" s="25"/>
      <c r="HI18" s="25"/>
      <c r="HJ18" s="25"/>
      <c r="HK18" s="25"/>
      <c r="HL18" s="25"/>
      <c r="HM18" s="25"/>
      <c r="HN18" s="25"/>
      <c r="HO18" s="25"/>
      <c r="HP18" s="25"/>
      <c r="HQ18" s="25"/>
      <c r="HR18" s="25"/>
      <c r="HS18" s="25"/>
      <c r="HT18" s="25"/>
      <c r="HU18" s="25"/>
      <c r="HV18" s="25"/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25"/>
      <c r="IK18" s="25"/>
      <c r="IL18" s="25"/>
      <c r="IM18" s="25"/>
      <c r="IN18" s="25"/>
      <c r="IO18" s="25"/>
      <c r="IP18" s="25"/>
      <c r="IQ18" s="25"/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25"/>
      <c r="JM18" s="25"/>
      <c r="JN18" s="25"/>
      <c r="JO18" s="25"/>
      <c r="JP18" s="25"/>
      <c r="JQ18" s="25"/>
      <c r="JR18" s="25"/>
      <c r="JS18" s="25"/>
      <c r="JT18" s="25"/>
      <c r="JU18" s="25"/>
      <c r="JV18" s="25"/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25"/>
      <c r="KO18" s="25"/>
      <c r="KP18" s="25"/>
    </row>
    <row r="19" spans="1:302" x14ac:dyDescent="0.2">
      <c r="A19" s="39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  <c r="BZ19" s="25"/>
      <c r="CA19" s="25"/>
      <c r="CB19" s="25"/>
      <c r="CC19" s="25"/>
      <c r="CD19" s="25"/>
      <c r="CE19" s="25"/>
      <c r="CF19" s="25"/>
      <c r="CG19" s="25"/>
      <c r="CH19" s="25"/>
      <c r="CI19" s="25"/>
      <c r="CJ19" s="25"/>
      <c r="CK19" s="25"/>
      <c r="CL19" s="25"/>
      <c r="CM19" s="25"/>
      <c r="CN19" s="25"/>
      <c r="CO19" s="25"/>
      <c r="CP19" s="25"/>
      <c r="CQ19" s="25"/>
      <c r="CR19" s="25"/>
      <c r="CS19" s="25"/>
      <c r="CT19" s="25"/>
      <c r="CU19" s="25"/>
      <c r="CV19" s="25"/>
      <c r="CW19" s="25"/>
      <c r="CX19" s="25"/>
      <c r="CY19" s="25"/>
      <c r="CZ19" s="25"/>
      <c r="DA19" s="25"/>
      <c r="DB19" s="25"/>
      <c r="DC19" s="25"/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25"/>
      <c r="FE19" s="25"/>
      <c r="FF19" s="25"/>
      <c r="FG19" s="25"/>
      <c r="FH19" s="25"/>
      <c r="FI19" s="25"/>
      <c r="FJ19" s="25"/>
      <c r="FK19" s="25"/>
      <c r="FL19" s="25"/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25"/>
      <c r="HI19" s="25"/>
      <c r="HJ19" s="25"/>
      <c r="HK19" s="25"/>
      <c r="HL19" s="25"/>
      <c r="HM19" s="25"/>
      <c r="HN19" s="25"/>
      <c r="HO19" s="25"/>
      <c r="HP19" s="25"/>
      <c r="HQ19" s="25"/>
      <c r="HR19" s="25"/>
      <c r="HS19" s="25"/>
      <c r="HT19" s="25"/>
      <c r="HU19" s="25"/>
      <c r="HV19" s="25"/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25"/>
      <c r="JR19" s="25"/>
      <c r="JS19" s="25"/>
      <c r="JT19" s="25"/>
      <c r="JU19" s="25"/>
      <c r="JV19" s="25"/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25"/>
      <c r="KO19" s="25"/>
      <c r="KP19" s="25"/>
    </row>
    <row r="20" spans="1:302" x14ac:dyDescent="0.2">
      <c r="A20" s="39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25"/>
      <c r="BP20" s="25"/>
      <c r="BQ20" s="25"/>
      <c r="BR20" s="25"/>
      <c r="BS20" s="25"/>
      <c r="BT20" s="2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  <c r="CG20" s="25"/>
      <c r="CH20" s="25"/>
      <c r="CI20" s="25"/>
      <c r="CJ20" s="25"/>
      <c r="CK20" s="25"/>
      <c r="CL20" s="25"/>
      <c r="CM20" s="25"/>
      <c r="CN20" s="25"/>
      <c r="CO20" s="25"/>
      <c r="CP20" s="25"/>
      <c r="CQ20" s="25"/>
      <c r="CR20" s="25"/>
      <c r="CS20" s="25"/>
      <c r="CT20" s="25"/>
      <c r="CU20" s="25"/>
      <c r="CV20" s="25"/>
      <c r="CW20" s="25"/>
      <c r="CX20" s="25"/>
      <c r="CY20" s="25"/>
      <c r="CZ20" s="25"/>
      <c r="DA20" s="25"/>
      <c r="DB20" s="25"/>
      <c r="DC20" s="25"/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25"/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25"/>
      <c r="EP20" s="25"/>
      <c r="EQ20" s="25"/>
      <c r="ER20" s="25"/>
      <c r="ES20" s="25"/>
      <c r="ET20" s="25"/>
      <c r="EU20" s="25"/>
      <c r="EV20" s="25"/>
      <c r="EW20" s="25"/>
      <c r="EX20" s="25"/>
      <c r="EY20" s="25"/>
      <c r="EZ20" s="25"/>
      <c r="FA20" s="25"/>
      <c r="FB20" s="25"/>
      <c r="FC20" s="25"/>
      <c r="FD20" s="25"/>
      <c r="FE20" s="25"/>
      <c r="FF20" s="25"/>
      <c r="FG20" s="25"/>
      <c r="FH20" s="25"/>
      <c r="FI20" s="25"/>
      <c r="FJ20" s="25"/>
      <c r="FK20" s="25"/>
      <c r="FL20" s="25"/>
      <c r="FM20" s="25"/>
      <c r="FN20" s="25"/>
      <c r="FO20" s="25"/>
      <c r="FP20" s="25"/>
      <c r="FQ20" s="25"/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25"/>
      <c r="GH20" s="25"/>
      <c r="GI20" s="25"/>
      <c r="GJ20" s="25"/>
      <c r="GK20" s="25"/>
      <c r="GL20" s="25"/>
      <c r="GM20" s="25"/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25"/>
      <c r="HD20" s="25"/>
      <c r="HE20" s="25"/>
      <c r="HF20" s="25"/>
      <c r="HG20" s="25"/>
      <c r="HH20" s="25"/>
      <c r="HI20" s="25"/>
      <c r="HJ20" s="25"/>
      <c r="HK20" s="25"/>
      <c r="HL20" s="25"/>
      <c r="HM20" s="25"/>
      <c r="HN20" s="25"/>
      <c r="HO20" s="25"/>
      <c r="HP20" s="25"/>
      <c r="HQ20" s="25"/>
      <c r="HR20" s="25"/>
      <c r="HS20" s="25"/>
      <c r="HT20" s="25"/>
      <c r="HU20" s="25"/>
      <c r="HV20" s="25"/>
      <c r="HW20" s="25"/>
      <c r="HX20" s="25"/>
      <c r="HY20" s="25"/>
      <c r="HZ20" s="25"/>
      <c r="IA20" s="25"/>
      <c r="IB20" s="25"/>
      <c r="IC20" s="25"/>
      <c r="ID20" s="25"/>
      <c r="IE20" s="25"/>
      <c r="IF20" s="25"/>
      <c r="IG20" s="25"/>
      <c r="IH20" s="25"/>
      <c r="II20" s="25"/>
      <c r="IJ20" s="25"/>
      <c r="IK20" s="25"/>
      <c r="IL20" s="25"/>
      <c r="IM20" s="25"/>
      <c r="IN20" s="25"/>
      <c r="IO20" s="25"/>
      <c r="IP20" s="25"/>
      <c r="IQ20" s="25"/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25"/>
      <c r="JM20" s="25"/>
      <c r="JN20" s="25"/>
      <c r="JO20" s="25"/>
      <c r="JP20" s="25"/>
      <c r="JQ20" s="25"/>
      <c r="JR20" s="25"/>
      <c r="JS20" s="25"/>
      <c r="JT20" s="25"/>
      <c r="JU20" s="25"/>
      <c r="JV20" s="25"/>
      <c r="JW20" s="25"/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25"/>
      <c r="KN20" s="25"/>
      <c r="KO20" s="25"/>
      <c r="KP20" s="25"/>
    </row>
    <row r="21" spans="1:302" x14ac:dyDescent="0.2">
      <c r="A21" s="39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25"/>
      <c r="BP21" s="25"/>
      <c r="BQ21" s="25"/>
      <c r="BR21" s="25"/>
      <c r="BS21" s="25"/>
      <c r="BT21" s="25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  <c r="CF21" s="25"/>
      <c r="CG21" s="25"/>
      <c r="CH21" s="25"/>
      <c r="CI21" s="25"/>
      <c r="CJ21" s="25"/>
      <c r="CK21" s="25"/>
      <c r="CL21" s="25"/>
      <c r="CM21" s="25"/>
      <c r="CN21" s="25"/>
      <c r="CO21" s="25"/>
      <c r="CP21" s="25"/>
      <c r="CQ21" s="25"/>
      <c r="CR21" s="25"/>
      <c r="CS21" s="25"/>
      <c r="CT21" s="25"/>
      <c r="CU21" s="25"/>
      <c r="CV21" s="25"/>
      <c r="CW21" s="25"/>
      <c r="CX21" s="25"/>
      <c r="CY21" s="25"/>
      <c r="CZ21" s="25"/>
      <c r="DA21" s="25"/>
      <c r="DB21" s="25"/>
      <c r="DC21" s="25"/>
      <c r="DD21" s="2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25"/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25"/>
      <c r="EP21" s="25"/>
      <c r="EQ21" s="25"/>
      <c r="ER21" s="25"/>
      <c r="ES21" s="25"/>
      <c r="ET21" s="25"/>
      <c r="EU21" s="25"/>
      <c r="EV21" s="25"/>
      <c r="EW21" s="25"/>
      <c r="EX21" s="25"/>
      <c r="EY21" s="25"/>
      <c r="EZ21" s="25"/>
      <c r="FA21" s="25"/>
      <c r="FB21" s="25"/>
      <c r="FC21" s="25"/>
      <c r="FD21" s="25"/>
      <c r="FE21" s="25"/>
      <c r="FF21" s="25"/>
      <c r="FG21" s="25"/>
      <c r="FH21" s="25"/>
      <c r="FI21" s="25"/>
      <c r="FJ21" s="25"/>
      <c r="FK21" s="25"/>
      <c r="FL21" s="25"/>
      <c r="FM21" s="25"/>
      <c r="FN21" s="25"/>
      <c r="FO21" s="25"/>
      <c r="FP21" s="25"/>
      <c r="FQ21" s="25"/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25"/>
      <c r="GH21" s="25"/>
      <c r="GI21" s="25"/>
      <c r="GJ21" s="25"/>
      <c r="GK21" s="25"/>
      <c r="GL21" s="25"/>
      <c r="GM21" s="25"/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25"/>
      <c r="HD21" s="25"/>
      <c r="HE21" s="25"/>
      <c r="HF21" s="25"/>
      <c r="HG21" s="25"/>
      <c r="HH21" s="25"/>
      <c r="HI21" s="25"/>
      <c r="HJ21" s="25"/>
      <c r="HK21" s="25"/>
      <c r="HL21" s="25"/>
      <c r="HM21" s="25"/>
      <c r="HN21" s="25"/>
      <c r="HO21" s="25"/>
      <c r="HP21" s="25"/>
      <c r="HQ21" s="25"/>
      <c r="HR21" s="25"/>
      <c r="HS21" s="25"/>
      <c r="HT21" s="25"/>
      <c r="HU21" s="25"/>
      <c r="HV21" s="25"/>
      <c r="HW21" s="25"/>
      <c r="HX21" s="25"/>
      <c r="HY21" s="25"/>
      <c r="HZ21" s="25"/>
      <c r="IA21" s="25"/>
      <c r="IB21" s="25"/>
      <c r="IC21" s="25"/>
      <c r="ID21" s="25"/>
      <c r="IE21" s="25"/>
      <c r="IF21" s="25"/>
      <c r="IG21" s="25"/>
      <c r="IH21" s="25"/>
      <c r="II21" s="25"/>
      <c r="IJ21" s="25"/>
      <c r="IK21" s="25"/>
      <c r="IL21" s="25"/>
      <c r="IM21" s="25"/>
      <c r="IN21" s="25"/>
      <c r="IO21" s="25"/>
      <c r="IP21" s="25"/>
      <c r="IQ21" s="25"/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25"/>
      <c r="JM21" s="25"/>
      <c r="JN21" s="25"/>
      <c r="JO21" s="25"/>
      <c r="JP21" s="25"/>
      <c r="JQ21" s="25"/>
      <c r="JR21" s="25"/>
      <c r="JS21" s="25"/>
      <c r="JT21" s="25"/>
      <c r="JU21" s="25"/>
      <c r="JV21" s="25"/>
      <c r="JW21" s="25"/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25"/>
      <c r="KN21" s="25"/>
      <c r="KO21" s="25"/>
      <c r="KP21" s="25"/>
    </row>
    <row r="22" spans="1:302" x14ac:dyDescent="0.2">
      <c r="A22" s="39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5"/>
      <c r="BN22" s="25"/>
      <c r="BO22" s="25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  <c r="CA22" s="25"/>
      <c r="CB22" s="25"/>
      <c r="CC22" s="25"/>
      <c r="CD22" s="25"/>
      <c r="CE22" s="25"/>
      <c r="CF22" s="25"/>
      <c r="CG22" s="25"/>
      <c r="CH22" s="25"/>
      <c r="CI22" s="25"/>
      <c r="CJ22" s="25"/>
      <c r="CK22" s="25"/>
      <c r="CL22" s="25"/>
      <c r="CM22" s="25"/>
      <c r="CN22" s="25"/>
      <c r="CO22" s="25"/>
      <c r="CP22" s="25"/>
      <c r="CQ22" s="25"/>
      <c r="CR22" s="25"/>
      <c r="CS22" s="25"/>
      <c r="CT22" s="25"/>
      <c r="CU22" s="25"/>
      <c r="CV22" s="25"/>
      <c r="CW22" s="25"/>
      <c r="CX22" s="25"/>
      <c r="CY22" s="25"/>
      <c r="CZ22" s="25"/>
      <c r="DA22" s="25"/>
      <c r="DB22" s="25"/>
      <c r="DC22" s="25"/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25"/>
      <c r="DY22" s="25"/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25"/>
      <c r="EP22" s="25"/>
      <c r="EQ22" s="25"/>
      <c r="ER22" s="25"/>
      <c r="ES22" s="25"/>
      <c r="ET22" s="25"/>
      <c r="EU22" s="25"/>
      <c r="EV22" s="25"/>
      <c r="EW22" s="25"/>
      <c r="EX22" s="25"/>
      <c r="EY22" s="25"/>
      <c r="EZ22" s="25"/>
      <c r="FA22" s="25"/>
      <c r="FB22" s="25"/>
      <c r="FC22" s="25"/>
      <c r="FD22" s="25"/>
      <c r="FE22" s="25"/>
      <c r="FF22" s="25"/>
      <c r="FG22" s="25"/>
      <c r="FH22" s="25"/>
      <c r="FI22" s="25"/>
      <c r="FJ22" s="25"/>
      <c r="FK22" s="25"/>
      <c r="FL22" s="25"/>
      <c r="FM22" s="25"/>
      <c r="FN22" s="25"/>
      <c r="FO22" s="25"/>
      <c r="FP22" s="25"/>
      <c r="FQ22" s="25"/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25"/>
      <c r="GH22" s="25"/>
      <c r="GI22" s="25"/>
      <c r="GJ22" s="25"/>
      <c r="GK22" s="25"/>
      <c r="GL22" s="25"/>
      <c r="GM22" s="25"/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25"/>
      <c r="HD22" s="25"/>
      <c r="HE22" s="25"/>
      <c r="HF22" s="25"/>
      <c r="HG22" s="25"/>
      <c r="HH22" s="25"/>
      <c r="HI22" s="25"/>
      <c r="HJ22" s="25"/>
      <c r="HK22" s="25"/>
      <c r="HL22" s="25"/>
      <c r="HM22" s="25"/>
      <c r="HN22" s="25"/>
      <c r="HO22" s="25"/>
      <c r="HP22" s="25"/>
      <c r="HQ22" s="25"/>
      <c r="HR22" s="25"/>
      <c r="HS22" s="25"/>
      <c r="HT22" s="25"/>
      <c r="HU22" s="25"/>
      <c r="HV22" s="25"/>
      <c r="HW22" s="25"/>
      <c r="HX22" s="25"/>
      <c r="HY22" s="25"/>
      <c r="HZ22" s="25"/>
      <c r="IA22" s="25"/>
      <c r="IB22" s="25"/>
      <c r="IC22" s="25"/>
      <c r="ID22" s="25"/>
      <c r="IE22" s="25"/>
      <c r="IF22" s="25"/>
      <c r="IG22" s="25"/>
      <c r="IH22" s="25"/>
      <c r="II22" s="25"/>
      <c r="IJ22" s="25"/>
      <c r="IK22" s="25"/>
      <c r="IL22" s="25"/>
      <c r="IM22" s="25"/>
      <c r="IN22" s="25"/>
      <c r="IO22" s="25"/>
      <c r="IP22" s="25"/>
      <c r="IQ22" s="25"/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25"/>
      <c r="JM22" s="25"/>
      <c r="JN22" s="25"/>
      <c r="JO22" s="25"/>
      <c r="JP22" s="25"/>
      <c r="JQ22" s="25"/>
      <c r="JR22" s="25"/>
      <c r="JS22" s="25"/>
      <c r="JT22" s="25"/>
      <c r="JU22" s="25"/>
      <c r="JV22" s="25"/>
      <c r="JW22" s="25"/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25"/>
      <c r="KN22" s="25"/>
      <c r="KO22" s="25"/>
      <c r="KP22" s="25"/>
    </row>
    <row r="23" spans="1:302" x14ac:dyDescent="0.2">
      <c r="A23" s="39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25"/>
      <c r="BP23" s="2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25"/>
      <c r="CN23" s="25"/>
      <c r="CO23" s="25"/>
      <c r="CP23" s="25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25"/>
      <c r="DD23" s="2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25"/>
      <c r="DX23" s="25"/>
      <c r="DY23" s="25"/>
      <c r="DZ23" s="25"/>
      <c r="EA23" s="25"/>
      <c r="EB23" s="2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25"/>
      <c r="EP23" s="25"/>
      <c r="EQ23" s="25"/>
      <c r="ER23" s="25"/>
      <c r="ES23" s="25"/>
      <c r="ET23" s="25"/>
      <c r="EU23" s="25"/>
      <c r="EV23" s="25"/>
      <c r="EW23" s="25"/>
      <c r="EX23" s="25"/>
      <c r="EY23" s="25"/>
      <c r="EZ23" s="25"/>
      <c r="FA23" s="25"/>
      <c r="FB23" s="25"/>
      <c r="FC23" s="25"/>
      <c r="FD23" s="25"/>
      <c r="FE23" s="25"/>
      <c r="FF23" s="25"/>
      <c r="FG23" s="25"/>
      <c r="FH23" s="25"/>
      <c r="FI23" s="25"/>
      <c r="FJ23" s="25"/>
      <c r="FK23" s="25"/>
      <c r="FL23" s="25"/>
      <c r="FM23" s="25"/>
      <c r="FN23" s="25"/>
      <c r="FO23" s="25"/>
      <c r="FP23" s="25"/>
      <c r="FQ23" s="25"/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25"/>
      <c r="GH23" s="25"/>
      <c r="GI23" s="25"/>
      <c r="GJ23" s="25"/>
      <c r="GK23" s="25"/>
      <c r="GL23" s="25"/>
      <c r="GM23" s="25"/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25"/>
      <c r="HD23" s="25"/>
      <c r="HE23" s="25"/>
      <c r="HF23" s="25"/>
      <c r="HG23" s="25"/>
      <c r="HH23" s="25"/>
      <c r="HI23" s="25"/>
      <c r="HJ23" s="25"/>
      <c r="HK23" s="25"/>
      <c r="HL23" s="25"/>
      <c r="HM23" s="25"/>
      <c r="HN23" s="25"/>
      <c r="HO23" s="25"/>
      <c r="HP23" s="25"/>
      <c r="HQ23" s="25"/>
      <c r="HR23" s="25"/>
      <c r="HS23" s="25"/>
      <c r="HT23" s="25"/>
      <c r="HU23" s="25"/>
      <c r="HV23" s="25"/>
      <c r="HW23" s="25"/>
      <c r="HX23" s="25"/>
      <c r="HY23" s="25"/>
      <c r="HZ23" s="25"/>
      <c r="IA23" s="25"/>
      <c r="IB23" s="25"/>
      <c r="IC23" s="25"/>
      <c r="ID23" s="25"/>
      <c r="IE23" s="25"/>
      <c r="IF23" s="25"/>
      <c r="IG23" s="25"/>
      <c r="IH23" s="25"/>
      <c r="II23" s="25"/>
      <c r="IJ23" s="25"/>
      <c r="IK23" s="25"/>
      <c r="IL23" s="25"/>
      <c r="IM23" s="25"/>
      <c r="IN23" s="25"/>
      <c r="IO23" s="25"/>
      <c r="IP23" s="25"/>
      <c r="IQ23" s="25"/>
      <c r="IR23" s="25"/>
      <c r="IS23" s="25"/>
      <c r="IT23" s="25"/>
      <c r="IU23" s="25"/>
      <c r="IV23" s="25"/>
      <c r="IW23" s="25"/>
      <c r="IX23" s="25"/>
      <c r="IY23" s="25"/>
      <c r="IZ23" s="25"/>
      <c r="JA23" s="25"/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25"/>
      <c r="JM23" s="25"/>
      <c r="JN23" s="25"/>
      <c r="JO23" s="25"/>
      <c r="JP23" s="25"/>
      <c r="JQ23" s="25"/>
      <c r="JR23" s="25"/>
      <c r="JS23" s="25"/>
      <c r="JT23" s="25"/>
      <c r="JU23" s="25"/>
      <c r="JV23" s="25"/>
      <c r="JW23" s="25"/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25"/>
      <c r="KN23" s="25"/>
      <c r="KO23" s="25"/>
      <c r="KP23" s="25"/>
    </row>
    <row r="24" spans="1:302" x14ac:dyDescent="0.2">
      <c r="A24" s="39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  <c r="BO24" s="25"/>
      <c r="BP24" s="2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  <c r="CL24" s="25"/>
      <c r="CM24" s="25"/>
      <c r="CN24" s="25"/>
      <c r="CO24" s="25"/>
      <c r="CP24" s="25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25"/>
      <c r="DD24" s="2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5"/>
      <c r="DT24" s="25"/>
      <c r="DU24" s="25"/>
      <c r="DV24" s="25"/>
      <c r="DW24" s="25"/>
      <c r="DX24" s="25"/>
      <c r="DY24" s="25"/>
      <c r="DZ24" s="25"/>
      <c r="EA24" s="25"/>
      <c r="EB24" s="25"/>
      <c r="EC24" s="25"/>
      <c r="ED24" s="25"/>
      <c r="EE24" s="25"/>
      <c r="EF24" s="25"/>
      <c r="EG24" s="25"/>
      <c r="EH24" s="25"/>
      <c r="EI24" s="25"/>
      <c r="EJ24" s="25"/>
      <c r="EK24" s="25"/>
      <c r="EL24" s="25"/>
      <c r="EM24" s="25"/>
      <c r="EN24" s="25"/>
      <c r="EO24" s="25"/>
      <c r="EP24" s="25"/>
      <c r="EQ24" s="25"/>
      <c r="ER24" s="25"/>
      <c r="ES24" s="25"/>
      <c r="ET24" s="25"/>
      <c r="EU24" s="25"/>
      <c r="EV24" s="25"/>
      <c r="EW24" s="25"/>
      <c r="EX24" s="25"/>
      <c r="EY24" s="25"/>
      <c r="EZ24" s="25"/>
      <c r="FA24" s="25"/>
      <c r="FB24" s="25"/>
      <c r="FC24" s="25"/>
      <c r="FD24" s="25"/>
      <c r="FE24" s="25"/>
      <c r="FF24" s="25"/>
      <c r="FG24" s="25"/>
      <c r="FH24" s="25"/>
      <c r="FI24" s="25"/>
      <c r="FJ24" s="25"/>
      <c r="FK24" s="25"/>
      <c r="FL24" s="25"/>
      <c r="FM24" s="25"/>
      <c r="FN24" s="25"/>
      <c r="FO24" s="25"/>
      <c r="FP24" s="25"/>
      <c r="FQ24" s="25"/>
      <c r="FR24" s="25"/>
      <c r="FS24" s="25"/>
      <c r="FT24" s="25"/>
      <c r="FU24" s="25"/>
      <c r="FV24" s="25"/>
      <c r="FW24" s="25"/>
      <c r="FX24" s="25"/>
      <c r="FY24" s="25"/>
      <c r="FZ24" s="25"/>
      <c r="GA24" s="25"/>
      <c r="GB24" s="25"/>
      <c r="GC24" s="25"/>
      <c r="GD24" s="25"/>
      <c r="GE24" s="25"/>
      <c r="GF24" s="25"/>
      <c r="GG24" s="25"/>
      <c r="GH24" s="25"/>
      <c r="GI24" s="25"/>
      <c r="GJ24" s="25"/>
      <c r="GK24" s="25"/>
      <c r="GL24" s="25"/>
      <c r="GM24" s="25"/>
      <c r="GN24" s="25"/>
      <c r="GO24" s="25"/>
      <c r="GP24" s="25"/>
      <c r="GQ24" s="25"/>
      <c r="GR24" s="25"/>
      <c r="GS24" s="25"/>
      <c r="GT24" s="25"/>
      <c r="GU24" s="25"/>
      <c r="GV24" s="25"/>
      <c r="GW24" s="25"/>
      <c r="GX24" s="25"/>
      <c r="GY24" s="25"/>
      <c r="GZ24" s="25"/>
      <c r="HA24" s="25"/>
      <c r="HB24" s="25"/>
      <c r="HC24" s="25"/>
      <c r="HD24" s="25"/>
      <c r="HE24" s="25"/>
      <c r="HF24" s="25"/>
      <c r="HG24" s="25"/>
      <c r="HH24" s="25"/>
      <c r="HI24" s="25"/>
      <c r="HJ24" s="25"/>
      <c r="HK24" s="25"/>
      <c r="HL24" s="25"/>
      <c r="HM24" s="25"/>
      <c r="HN24" s="25"/>
      <c r="HO24" s="25"/>
      <c r="HP24" s="25"/>
      <c r="HQ24" s="25"/>
      <c r="HR24" s="25"/>
      <c r="HS24" s="25"/>
      <c r="HT24" s="25"/>
      <c r="HU24" s="25"/>
      <c r="HV24" s="25"/>
      <c r="HW24" s="25"/>
      <c r="HX24" s="25"/>
      <c r="HY24" s="25"/>
      <c r="HZ24" s="25"/>
      <c r="IA24" s="25"/>
      <c r="IB24" s="25"/>
      <c r="IC24" s="25"/>
      <c r="ID24" s="25"/>
      <c r="IE24" s="25"/>
      <c r="IF24" s="25"/>
      <c r="IG24" s="25"/>
      <c r="IH24" s="25"/>
      <c r="II24" s="25"/>
      <c r="IJ24" s="25"/>
      <c r="IK24" s="25"/>
      <c r="IL24" s="25"/>
      <c r="IM24" s="25"/>
      <c r="IN24" s="25"/>
      <c r="IO24" s="25"/>
      <c r="IP24" s="25"/>
      <c r="IQ24" s="25"/>
      <c r="IR24" s="25"/>
      <c r="IS24" s="25"/>
      <c r="IT24" s="25"/>
      <c r="IU24" s="25"/>
      <c r="IV24" s="25"/>
      <c r="IW24" s="25"/>
      <c r="IX24" s="25"/>
      <c r="IY24" s="25"/>
      <c r="IZ24" s="25"/>
      <c r="JA24" s="25"/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25"/>
      <c r="JM24" s="25"/>
      <c r="JN24" s="25"/>
      <c r="JO24" s="25"/>
      <c r="JP24" s="25"/>
      <c r="JQ24" s="25"/>
      <c r="JR24" s="25"/>
      <c r="JS24" s="25"/>
      <c r="JT24" s="25"/>
      <c r="JU24" s="25"/>
      <c r="JV24" s="25"/>
      <c r="JW24" s="25"/>
      <c r="JX24" s="25"/>
      <c r="JY24" s="25"/>
      <c r="JZ24" s="25"/>
      <c r="KA24" s="25"/>
      <c r="KB24" s="25"/>
      <c r="KC24" s="25"/>
      <c r="KD24" s="25"/>
      <c r="KE24" s="25"/>
      <c r="KF24" s="25"/>
      <c r="KG24" s="25"/>
      <c r="KH24" s="25"/>
      <c r="KI24" s="25"/>
      <c r="KJ24" s="25"/>
      <c r="KK24" s="25"/>
      <c r="KL24" s="25"/>
      <c r="KM24" s="25"/>
      <c r="KN24" s="25"/>
      <c r="KO24" s="25"/>
      <c r="KP24" s="25"/>
    </row>
    <row r="25" spans="1:302" x14ac:dyDescent="0.2">
      <c r="A25" s="39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5"/>
      <c r="AV25" s="25"/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BK25" s="25"/>
      <c r="BL25" s="25"/>
      <c r="BM25" s="25"/>
      <c r="BN25" s="25"/>
      <c r="BO25" s="25"/>
      <c r="BP25" s="25"/>
      <c r="BQ25" s="25"/>
      <c r="BR25" s="25"/>
      <c r="BS25" s="25"/>
      <c r="BT25" s="25"/>
      <c r="BU25" s="25"/>
      <c r="BV25" s="25"/>
      <c r="BW25" s="25"/>
      <c r="BX25" s="25"/>
      <c r="BY25" s="25"/>
      <c r="BZ25" s="25"/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  <c r="CW25" s="25"/>
      <c r="CX25" s="25"/>
      <c r="CY25" s="25"/>
      <c r="CZ25" s="25"/>
      <c r="DA25" s="25"/>
      <c r="DB25" s="25"/>
      <c r="DC25" s="25"/>
      <c r="DD25" s="25"/>
      <c r="DE25" s="25"/>
      <c r="DF25" s="25"/>
      <c r="DG25" s="25"/>
      <c r="DH25" s="25"/>
      <c r="DI25" s="25"/>
      <c r="DJ25" s="25"/>
      <c r="DK25" s="25"/>
      <c r="DL25" s="25"/>
      <c r="DM25" s="25"/>
      <c r="DN25" s="25"/>
      <c r="DO25" s="25"/>
      <c r="DP25" s="25"/>
      <c r="DQ25" s="25"/>
      <c r="DR25" s="25"/>
      <c r="DS25" s="25"/>
      <c r="DT25" s="25"/>
      <c r="DU25" s="25"/>
      <c r="DV25" s="25"/>
      <c r="DW25" s="25"/>
      <c r="DX25" s="25"/>
      <c r="DY25" s="25"/>
      <c r="DZ25" s="25"/>
      <c r="EA25" s="25"/>
      <c r="EB25" s="25"/>
      <c r="EC25" s="25"/>
      <c r="ED25" s="25"/>
      <c r="EE25" s="25"/>
      <c r="EF25" s="25"/>
      <c r="EG25" s="25"/>
      <c r="EH25" s="25"/>
      <c r="EI25" s="25"/>
      <c r="EJ25" s="25"/>
      <c r="EK25" s="25"/>
      <c r="EL25" s="25"/>
      <c r="EM25" s="25"/>
      <c r="EN25" s="25"/>
      <c r="EO25" s="25"/>
      <c r="EP25" s="25"/>
      <c r="EQ25" s="25"/>
      <c r="ER25" s="25"/>
      <c r="ES25" s="25"/>
      <c r="ET25" s="25"/>
      <c r="EU25" s="25"/>
      <c r="EV25" s="25"/>
      <c r="EW25" s="25"/>
      <c r="EX25" s="25"/>
      <c r="EY25" s="25"/>
      <c r="EZ25" s="25"/>
      <c r="FA25" s="25"/>
      <c r="FB25" s="25"/>
      <c r="FC25" s="25"/>
      <c r="FD25" s="25"/>
      <c r="FE25" s="25"/>
      <c r="FF25" s="25"/>
      <c r="FG25" s="25"/>
      <c r="FH25" s="25"/>
      <c r="FI25" s="25"/>
      <c r="FJ25" s="25"/>
      <c r="FK25" s="25"/>
      <c r="FL25" s="25"/>
      <c r="FM25" s="25"/>
      <c r="FN25" s="25"/>
      <c r="FO25" s="25"/>
      <c r="FP25" s="25"/>
      <c r="FQ25" s="25"/>
      <c r="FR25" s="25"/>
      <c r="FS25" s="25"/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25"/>
      <c r="GG25" s="25"/>
      <c r="GH25" s="25"/>
      <c r="GI25" s="25"/>
      <c r="GJ25" s="25"/>
      <c r="GK25" s="25"/>
      <c r="GL25" s="25"/>
      <c r="GM25" s="25"/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25"/>
      <c r="HD25" s="25"/>
      <c r="HE25" s="25"/>
      <c r="HF25" s="25"/>
      <c r="HG25" s="25"/>
      <c r="HH25" s="25"/>
      <c r="HI25" s="25"/>
      <c r="HJ25" s="25"/>
      <c r="HK25" s="25"/>
      <c r="HL25" s="25"/>
      <c r="HM25" s="25"/>
      <c r="HN25" s="25"/>
      <c r="HO25" s="25"/>
      <c r="HP25" s="25"/>
      <c r="HQ25" s="25"/>
      <c r="HR25" s="25"/>
      <c r="HS25" s="25"/>
      <c r="HT25" s="25"/>
      <c r="HU25" s="25"/>
      <c r="HV25" s="25"/>
      <c r="HW25" s="25"/>
      <c r="HX25" s="25"/>
      <c r="HY25" s="25"/>
      <c r="HZ25" s="25"/>
      <c r="IA25" s="25"/>
      <c r="IB25" s="25"/>
      <c r="IC25" s="25"/>
      <c r="ID25" s="25"/>
      <c r="IE25" s="25"/>
      <c r="IF25" s="25"/>
      <c r="IG25" s="25"/>
      <c r="IH25" s="25"/>
      <c r="II25" s="25"/>
      <c r="IJ25" s="25"/>
      <c r="IK25" s="25"/>
      <c r="IL25" s="25"/>
      <c r="IM25" s="25"/>
      <c r="IN25" s="25"/>
      <c r="IO25" s="25"/>
      <c r="IP25" s="25"/>
      <c r="IQ25" s="25"/>
      <c r="IR25" s="25"/>
      <c r="IS25" s="25"/>
      <c r="IT25" s="25"/>
      <c r="IU25" s="25"/>
      <c r="IV25" s="25"/>
      <c r="IW25" s="25"/>
      <c r="IX25" s="25"/>
      <c r="IY25" s="25"/>
      <c r="IZ25" s="25"/>
      <c r="JA25" s="25"/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25"/>
      <c r="JM25" s="25"/>
      <c r="JN25" s="25"/>
      <c r="JO25" s="25"/>
      <c r="JP25" s="25"/>
      <c r="JQ25" s="25"/>
      <c r="JR25" s="25"/>
      <c r="JS25" s="25"/>
      <c r="JT25" s="25"/>
      <c r="JU25" s="25"/>
      <c r="JV25" s="25"/>
      <c r="JW25" s="25"/>
      <c r="JX25" s="25"/>
      <c r="JY25" s="25"/>
      <c r="JZ25" s="25"/>
      <c r="KA25" s="25"/>
      <c r="KB25" s="25"/>
      <c r="KC25" s="25"/>
      <c r="KD25" s="25"/>
      <c r="KE25" s="25"/>
      <c r="KF25" s="25"/>
      <c r="KG25" s="25"/>
      <c r="KH25" s="25"/>
      <c r="KI25" s="25"/>
      <c r="KJ25" s="25"/>
      <c r="KK25" s="25"/>
      <c r="KL25" s="25"/>
      <c r="KM25" s="25"/>
      <c r="KN25" s="25"/>
      <c r="KO25" s="25"/>
      <c r="KP25" s="25"/>
    </row>
    <row r="26" spans="1:302" s="30" customFormat="1" x14ac:dyDescent="0.2">
      <c r="A26" s="40" t="s">
        <v>36</v>
      </c>
      <c r="B26" s="45">
        <f t="shared" ref="B26:U26" si="8">SUM(B18:B25)</f>
        <v>0</v>
      </c>
      <c r="C26" s="45">
        <f t="shared" si="8"/>
        <v>0</v>
      </c>
      <c r="D26" s="45">
        <f t="shared" si="8"/>
        <v>0</v>
      </c>
      <c r="E26" s="45">
        <f t="shared" si="8"/>
        <v>0</v>
      </c>
      <c r="F26" s="45">
        <f t="shared" si="8"/>
        <v>0</v>
      </c>
      <c r="G26" s="45">
        <f t="shared" si="8"/>
        <v>0</v>
      </c>
      <c r="H26" s="45">
        <f t="shared" si="8"/>
        <v>0</v>
      </c>
      <c r="I26" s="45">
        <f t="shared" si="8"/>
        <v>0</v>
      </c>
      <c r="J26" s="45">
        <f t="shared" si="8"/>
        <v>0</v>
      </c>
      <c r="K26" s="45">
        <f t="shared" si="8"/>
        <v>0</v>
      </c>
      <c r="L26" s="45">
        <f t="shared" si="8"/>
        <v>0</v>
      </c>
      <c r="M26" s="45">
        <f t="shared" si="8"/>
        <v>0</v>
      </c>
      <c r="N26" s="45">
        <f t="shared" si="8"/>
        <v>0</v>
      </c>
      <c r="O26" s="45">
        <f t="shared" si="8"/>
        <v>0</v>
      </c>
      <c r="P26" s="45">
        <f t="shared" si="8"/>
        <v>0</v>
      </c>
      <c r="Q26" s="45">
        <f t="shared" si="8"/>
        <v>0</v>
      </c>
      <c r="R26" s="45">
        <f t="shared" si="8"/>
        <v>0</v>
      </c>
      <c r="S26" s="45">
        <f t="shared" si="8"/>
        <v>0</v>
      </c>
      <c r="T26" s="45">
        <f t="shared" si="8"/>
        <v>0</v>
      </c>
      <c r="U26" s="45">
        <f t="shared" si="8"/>
        <v>0</v>
      </c>
      <c r="V26" s="45">
        <f t="shared" ref="V26:BN26" si="9">SUM(V18:V25)</f>
        <v>0</v>
      </c>
      <c r="W26" s="45">
        <f t="shared" si="9"/>
        <v>0</v>
      </c>
      <c r="X26" s="45">
        <f t="shared" si="9"/>
        <v>0</v>
      </c>
      <c r="Y26" s="45">
        <f t="shared" si="9"/>
        <v>0</v>
      </c>
      <c r="Z26" s="45">
        <f t="shared" si="9"/>
        <v>0</v>
      </c>
      <c r="AA26" s="45">
        <f t="shared" si="9"/>
        <v>0</v>
      </c>
      <c r="AB26" s="45">
        <f t="shared" si="9"/>
        <v>0</v>
      </c>
      <c r="AC26" s="45">
        <f t="shared" si="9"/>
        <v>0</v>
      </c>
      <c r="AD26" s="45">
        <f t="shared" si="9"/>
        <v>0</v>
      </c>
      <c r="AE26" s="45">
        <f t="shared" si="9"/>
        <v>0</v>
      </c>
      <c r="AF26" s="45">
        <f t="shared" si="9"/>
        <v>0</v>
      </c>
      <c r="AG26" s="45">
        <f t="shared" si="9"/>
        <v>0</v>
      </c>
      <c r="AH26" s="45">
        <f t="shared" si="9"/>
        <v>0</v>
      </c>
      <c r="AI26" s="45">
        <f t="shared" si="9"/>
        <v>0</v>
      </c>
      <c r="AJ26" s="45">
        <f t="shared" si="9"/>
        <v>0</v>
      </c>
      <c r="AK26" s="45">
        <f t="shared" si="9"/>
        <v>0</v>
      </c>
      <c r="AL26" s="45">
        <f t="shared" si="9"/>
        <v>0</v>
      </c>
      <c r="AM26" s="45">
        <f t="shared" si="9"/>
        <v>0</v>
      </c>
      <c r="AN26" s="45">
        <f t="shared" si="9"/>
        <v>0</v>
      </c>
      <c r="AO26" s="45">
        <f t="shared" si="9"/>
        <v>0</v>
      </c>
      <c r="AP26" s="45">
        <f t="shared" si="9"/>
        <v>0</v>
      </c>
      <c r="AQ26" s="45">
        <f t="shared" si="9"/>
        <v>0</v>
      </c>
      <c r="AR26" s="45">
        <f t="shared" si="9"/>
        <v>0</v>
      </c>
      <c r="AS26" s="45">
        <f t="shared" si="9"/>
        <v>0</v>
      </c>
      <c r="AT26" s="45">
        <f t="shared" si="9"/>
        <v>0</v>
      </c>
      <c r="AU26" s="45">
        <f t="shared" si="9"/>
        <v>0</v>
      </c>
      <c r="AV26" s="45">
        <f t="shared" si="9"/>
        <v>0</v>
      </c>
      <c r="AW26" s="45">
        <f t="shared" si="9"/>
        <v>0</v>
      </c>
      <c r="AX26" s="45">
        <f t="shared" si="9"/>
        <v>0</v>
      </c>
      <c r="AY26" s="45">
        <f t="shared" si="9"/>
        <v>0</v>
      </c>
      <c r="AZ26" s="45">
        <f t="shared" si="9"/>
        <v>0</v>
      </c>
      <c r="BA26" s="45">
        <f t="shared" si="9"/>
        <v>0</v>
      </c>
      <c r="BB26" s="45">
        <f t="shared" si="9"/>
        <v>0</v>
      </c>
      <c r="BC26" s="45">
        <f t="shared" si="9"/>
        <v>0</v>
      </c>
      <c r="BD26" s="45">
        <f t="shared" si="9"/>
        <v>0</v>
      </c>
      <c r="BE26" s="45">
        <f t="shared" si="9"/>
        <v>0</v>
      </c>
      <c r="BF26" s="45">
        <f t="shared" si="9"/>
        <v>0</v>
      </c>
      <c r="BG26" s="45">
        <f t="shared" si="9"/>
        <v>0</v>
      </c>
      <c r="BH26" s="45">
        <f t="shared" si="9"/>
        <v>0</v>
      </c>
      <c r="BI26" s="45">
        <f t="shared" si="9"/>
        <v>0</v>
      </c>
      <c r="BJ26" s="45">
        <f t="shared" si="9"/>
        <v>0</v>
      </c>
      <c r="BK26" s="45">
        <f t="shared" si="9"/>
        <v>0</v>
      </c>
      <c r="BL26" s="45">
        <f t="shared" si="9"/>
        <v>0</v>
      </c>
      <c r="BM26" s="45">
        <f t="shared" si="9"/>
        <v>0</v>
      </c>
      <c r="BN26" s="45">
        <f t="shared" si="9"/>
        <v>0</v>
      </c>
      <c r="BO26" s="45">
        <f t="shared" ref="BO26:DE26" si="10">SUM(BO18:BO25)</f>
        <v>0</v>
      </c>
      <c r="BP26" s="45">
        <f t="shared" si="10"/>
        <v>0</v>
      </c>
      <c r="BQ26" s="45">
        <f t="shared" si="10"/>
        <v>0</v>
      </c>
      <c r="BR26" s="45">
        <f t="shared" si="10"/>
        <v>0</v>
      </c>
      <c r="BS26" s="45">
        <f t="shared" si="10"/>
        <v>0</v>
      </c>
      <c r="BT26" s="45">
        <f t="shared" si="10"/>
        <v>0</v>
      </c>
      <c r="BU26" s="45">
        <f t="shared" si="10"/>
        <v>0</v>
      </c>
      <c r="BV26" s="45">
        <f t="shared" si="10"/>
        <v>0</v>
      </c>
      <c r="BW26" s="45">
        <f t="shared" si="10"/>
        <v>0</v>
      </c>
      <c r="BX26" s="45">
        <f t="shared" si="10"/>
        <v>0</v>
      </c>
      <c r="BY26" s="45">
        <f t="shared" si="10"/>
        <v>0</v>
      </c>
      <c r="BZ26" s="45">
        <f t="shared" si="10"/>
        <v>0</v>
      </c>
      <c r="CA26" s="45">
        <f t="shared" si="10"/>
        <v>0</v>
      </c>
      <c r="CB26" s="45">
        <f t="shared" si="10"/>
        <v>0</v>
      </c>
      <c r="CC26" s="45">
        <f t="shared" si="10"/>
        <v>0</v>
      </c>
      <c r="CD26" s="45">
        <f t="shared" si="10"/>
        <v>0</v>
      </c>
      <c r="CE26" s="45">
        <f t="shared" si="10"/>
        <v>0</v>
      </c>
      <c r="CF26" s="45">
        <f t="shared" si="10"/>
        <v>0</v>
      </c>
      <c r="CG26" s="45">
        <f t="shared" si="10"/>
        <v>0</v>
      </c>
      <c r="CH26" s="45">
        <f t="shared" si="10"/>
        <v>0</v>
      </c>
      <c r="CI26" s="45">
        <f t="shared" si="10"/>
        <v>0</v>
      </c>
      <c r="CJ26" s="45">
        <f t="shared" si="10"/>
        <v>0</v>
      </c>
      <c r="CK26" s="45">
        <f t="shared" si="10"/>
        <v>0</v>
      </c>
      <c r="CL26" s="45">
        <f t="shared" si="10"/>
        <v>0</v>
      </c>
      <c r="CM26" s="45">
        <f t="shared" si="10"/>
        <v>0</v>
      </c>
      <c r="CN26" s="45">
        <f t="shared" si="10"/>
        <v>0</v>
      </c>
      <c r="CO26" s="45">
        <f t="shared" si="10"/>
        <v>0</v>
      </c>
      <c r="CP26" s="45">
        <f t="shared" si="10"/>
        <v>0</v>
      </c>
      <c r="CQ26" s="45">
        <f t="shared" si="10"/>
        <v>0</v>
      </c>
      <c r="CR26" s="45">
        <f t="shared" si="10"/>
        <v>0</v>
      </c>
      <c r="CS26" s="45">
        <f t="shared" si="10"/>
        <v>0</v>
      </c>
      <c r="CT26" s="45">
        <f t="shared" si="10"/>
        <v>0</v>
      </c>
      <c r="CU26" s="45">
        <f t="shared" si="10"/>
        <v>0</v>
      </c>
      <c r="CV26" s="45">
        <f t="shared" si="10"/>
        <v>0</v>
      </c>
      <c r="CW26" s="45">
        <f t="shared" si="10"/>
        <v>0</v>
      </c>
      <c r="CX26" s="45">
        <f t="shared" si="10"/>
        <v>0</v>
      </c>
      <c r="CY26" s="45">
        <f t="shared" si="10"/>
        <v>0</v>
      </c>
      <c r="CZ26" s="45">
        <f t="shared" si="10"/>
        <v>0</v>
      </c>
      <c r="DA26" s="45">
        <f t="shared" si="10"/>
        <v>0</v>
      </c>
      <c r="DB26" s="45">
        <f t="shared" si="10"/>
        <v>0</v>
      </c>
      <c r="DC26" s="45">
        <f t="shared" si="10"/>
        <v>0</v>
      </c>
      <c r="DD26" s="45">
        <f t="shared" si="10"/>
        <v>0</v>
      </c>
      <c r="DE26" s="45">
        <f t="shared" si="10"/>
        <v>0</v>
      </c>
      <c r="DF26" s="45">
        <f t="shared" ref="DF26:EL26" si="11">SUM(DF18:DF25)</f>
        <v>0</v>
      </c>
      <c r="DG26" s="45">
        <f t="shared" si="11"/>
        <v>0</v>
      </c>
      <c r="DH26" s="45">
        <f t="shared" si="11"/>
        <v>0</v>
      </c>
      <c r="DI26" s="45">
        <f t="shared" si="11"/>
        <v>0</v>
      </c>
      <c r="DJ26" s="45">
        <f t="shared" si="11"/>
        <v>0</v>
      </c>
      <c r="DK26" s="45">
        <f t="shared" si="11"/>
        <v>0</v>
      </c>
      <c r="DL26" s="45">
        <f t="shared" si="11"/>
        <v>0</v>
      </c>
      <c r="DM26" s="45">
        <f t="shared" si="11"/>
        <v>0</v>
      </c>
      <c r="DN26" s="45">
        <f t="shared" si="11"/>
        <v>0</v>
      </c>
      <c r="DO26" s="45">
        <f t="shared" si="11"/>
        <v>0</v>
      </c>
      <c r="DP26" s="45">
        <f t="shared" si="11"/>
        <v>0</v>
      </c>
      <c r="DQ26" s="45">
        <f t="shared" si="11"/>
        <v>0</v>
      </c>
      <c r="DR26" s="45">
        <f t="shared" si="11"/>
        <v>0</v>
      </c>
      <c r="DS26" s="45">
        <f t="shared" si="11"/>
        <v>0</v>
      </c>
      <c r="DT26" s="45">
        <f t="shared" si="11"/>
        <v>0</v>
      </c>
      <c r="DU26" s="45">
        <f t="shared" si="11"/>
        <v>0</v>
      </c>
      <c r="DV26" s="45">
        <f t="shared" si="11"/>
        <v>0</v>
      </c>
      <c r="DW26" s="45">
        <f t="shared" si="11"/>
        <v>0</v>
      </c>
      <c r="DX26" s="45">
        <f t="shared" si="11"/>
        <v>0</v>
      </c>
      <c r="DY26" s="45">
        <f t="shared" si="11"/>
        <v>0</v>
      </c>
      <c r="DZ26" s="45">
        <f t="shared" si="11"/>
        <v>0</v>
      </c>
      <c r="EA26" s="45">
        <f t="shared" si="11"/>
        <v>0</v>
      </c>
      <c r="EB26" s="45">
        <f t="shared" si="11"/>
        <v>0</v>
      </c>
      <c r="EC26" s="45">
        <f t="shared" si="11"/>
        <v>0</v>
      </c>
      <c r="ED26" s="45">
        <f t="shared" si="11"/>
        <v>0</v>
      </c>
      <c r="EE26" s="45">
        <f t="shared" si="11"/>
        <v>0</v>
      </c>
      <c r="EF26" s="45">
        <f t="shared" si="11"/>
        <v>0</v>
      </c>
      <c r="EG26" s="45">
        <f t="shared" si="11"/>
        <v>0</v>
      </c>
      <c r="EH26" s="45">
        <f t="shared" si="11"/>
        <v>0</v>
      </c>
      <c r="EI26" s="45">
        <f t="shared" si="11"/>
        <v>0</v>
      </c>
      <c r="EJ26" s="45">
        <f t="shared" si="11"/>
        <v>0</v>
      </c>
      <c r="EK26" s="45">
        <f t="shared" si="11"/>
        <v>0</v>
      </c>
      <c r="EL26" s="45">
        <f t="shared" si="11"/>
        <v>0</v>
      </c>
      <c r="EM26" s="45">
        <f t="shared" ref="EM26:GX26" si="12">SUM(EM18:EM25)</f>
        <v>0</v>
      </c>
      <c r="EN26" s="45">
        <f t="shared" si="12"/>
        <v>0</v>
      </c>
      <c r="EO26" s="45">
        <f t="shared" si="12"/>
        <v>0</v>
      </c>
      <c r="EP26" s="45">
        <f t="shared" si="12"/>
        <v>0</v>
      </c>
      <c r="EQ26" s="45">
        <f t="shared" si="12"/>
        <v>0</v>
      </c>
      <c r="ER26" s="45">
        <f t="shared" si="12"/>
        <v>0</v>
      </c>
      <c r="ES26" s="45">
        <f t="shared" si="12"/>
        <v>0</v>
      </c>
      <c r="ET26" s="45">
        <f t="shared" si="12"/>
        <v>0</v>
      </c>
      <c r="EU26" s="45">
        <f t="shared" si="12"/>
        <v>0</v>
      </c>
      <c r="EV26" s="45">
        <f t="shared" si="12"/>
        <v>0</v>
      </c>
      <c r="EW26" s="45">
        <f t="shared" si="12"/>
        <v>0</v>
      </c>
      <c r="EX26" s="45">
        <f t="shared" si="12"/>
        <v>0</v>
      </c>
      <c r="EY26" s="45">
        <f t="shared" si="12"/>
        <v>0</v>
      </c>
      <c r="EZ26" s="45">
        <f t="shared" si="12"/>
        <v>0</v>
      </c>
      <c r="FA26" s="45">
        <f t="shared" si="12"/>
        <v>0</v>
      </c>
      <c r="FB26" s="45">
        <f t="shared" si="12"/>
        <v>0</v>
      </c>
      <c r="FC26" s="45">
        <f t="shared" si="12"/>
        <v>0</v>
      </c>
      <c r="FD26" s="45">
        <f t="shared" si="12"/>
        <v>0</v>
      </c>
      <c r="FE26" s="45">
        <f t="shared" si="12"/>
        <v>0</v>
      </c>
      <c r="FF26" s="45">
        <f t="shared" si="12"/>
        <v>0</v>
      </c>
      <c r="FG26" s="45">
        <f t="shared" si="12"/>
        <v>0</v>
      </c>
      <c r="FH26" s="45">
        <f t="shared" si="12"/>
        <v>0</v>
      </c>
      <c r="FI26" s="45">
        <f t="shared" si="12"/>
        <v>0</v>
      </c>
      <c r="FJ26" s="45">
        <f t="shared" si="12"/>
        <v>0</v>
      </c>
      <c r="FK26" s="45">
        <f t="shared" si="12"/>
        <v>0</v>
      </c>
      <c r="FL26" s="45">
        <f t="shared" si="12"/>
        <v>0</v>
      </c>
      <c r="FM26" s="45">
        <f t="shared" si="12"/>
        <v>0</v>
      </c>
      <c r="FN26" s="45">
        <f t="shared" si="12"/>
        <v>0</v>
      </c>
      <c r="FO26" s="45">
        <f t="shared" si="12"/>
        <v>0</v>
      </c>
      <c r="FP26" s="45">
        <f t="shared" si="12"/>
        <v>0</v>
      </c>
      <c r="FQ26" s="45">
        <f t="shared" si="12"/>
        <v>0</v>
      </c>
      <c r="FR26" s="45">
        <f t="shared" si="12"/>
        <v>0</v>
      </c>
      <c r="FS26" s="45">
        <f t="shared" si="12"/>
        <v>0</v>
      </c>
      <c r="FT26" s="45">
        <f t="shared" si="12"/>
        <v>0</v>
      </c>
      <c r="FU26" s="45">
        <f t="shared" si="12"/>
        <v>0</v>
      </c>
      <c r="FV26" s="45">
        <f t="shared" si="12"/>
        <v>0</v>
      </c>
      <c r="FW26" s="45">
        <f t="shared" si="12"/>
        <v>0</v>
      </c>
      <c r="FX26" s="45">
        <f t="shared" si="12"/>
        <v>0</v>
      </c>
      <c r="FY26" s="45">
        <f t="shared" si="12"/>
        <v>0</v>
      </c>
      <c r="FZ26" s="45">
        <f t="shared" si="12"/>
        <v>0</v>
      </c>
      <c r="GA26" s="45">
        <f t="shared" si="12"/>
        <v>0</v>
      </c>
      <c r="GB26" s="45">
        <f t="shared" si="12"/>
        <v>0</v>
      </c>
      <c r="GC26" s="45">
        <f t="shared" si="12"/>
        <v>0</v>
      </c>
      <c r="GD26" s="45">
        <f t="shared" si="12"/>
        <v>0</v>
      </c>
      <c r="GE26" s="45">
        <f t="shared" si="12"/>
        <v>0</v>
      </c>
      <c r="GF26" s="45">
        <f t="shared" si="12"/>
        <v>0</v>
      </c>
      <c r="GG26" s="45">
        <f t="shared" si="12"/>
        <v>0</v>
      </c>
      <c r="GH26" s="45">
        <f t="shared" si="12"/>
        <v>0</v>
      </c>
      <c r="GI26" s="45">
        <f t="shared" si="12"/>
        <v>0</v>
      </c>
      <c r="GJ26" s="45">
        <f t="shared" si="12"/>
        <v>0</v>
      </c>
      <c r="GK26" s="45">
        <f t="shared" si="12"/>
        <v>0</v>
      </c>
      <c r="GL26" s="45">
        <f t="shared" si="12"/>
        <v>0</v>
      </c>
      <c r="GM26" s="45">
        <f t="shared" si="12"/>
        <v>0</v>
      </c>
      <c r="GN26" s="45">
        <f t="shared" si="12"/>
        <v>0</v>
      </c>
      <c r="GO26" s="45">
        <f t="shared" si="12"/>
        <v>0</v>
      </c>
      <c r="GP26" s="45">
        <f t="shared" si="12"/>
        <v>0</v>
      </c>
      <c r="GQ26" s="45">
        <f t="shared" si="12"/>
        <v>0</v>
      </c>
      <c r="GR26" s="45">
        <f t="shared" si="12"/>
        <v>0</v>
      </c>
      <c r="GS26" s="45">
        <f t="shared" si="12"/>
        <v>0</v>
      </c>
      <c r="GT26" s="45">
        <f t="shared" si="12"/>
        <v>0</v>
      </c>
      <c r="GU26" s="45">
        <f t="shared" si="12"/>
        <v>0</v>
      </c>
      <c r="GV26" s="45">
        <f t="shared" si="12"/>
        <v>0</v>
      </c>
      <c r="GW26" s="45">
        <f t="shared" si="12"/>
        <v>0</v>
      </c>
      <c r="GX26" s="45">
        <f t="shared" si="12"/>
        <v>0</v>
      </c>
      <c r="GY26" s="45">
        <f t="shared" ref="GY26:JJ26" si="13">SUM(GY18:GY25)</f>
        <v>0</v>
      </c>
      <c r="GZ26" s="45">
        <f t="shared" si="13"/>
        <v>0</v>
      </c>
      <c r="HA26" s="45">
        <f t="shared" si="13"/>
        <v>0</v>
      </c>
      <c r="HB26" s="45">
        <f t="shared" si="13"/>
        <v>0</v>
      </c>
      <c r="HC26" s="45">
        <f t="shared" si="13"/>
        <v>0</v>
      </c>
      <c r="HD26" s="45">
        <f t="shared" si="13"/>
        <v>0</v>
      </c>
      <c r="HE26" s="45">
        <f t="shared" si="13"/>
        <v>0</v>
      </c>
      <c r="HF26" s="45">
        <f t="shared" si="13"/>
        <v>0</v>
      </c>
      <c r="HG26" s="45">
        <f t="shared" si="13"/>
        <v>0</v>
      </c>
      <c r="HH26" s="45">
        <f t="shared" si="13"/>
        <v>0</v>
      </c>
      <c r="HI26" s="45">
        <f t="shared" si="13"/>
        <v>0</v>
      </c>
      <c r="HJ26" s="45">
        <f t="shared" si="13"/>
        <v>0</v>
      </c>
      <c r="HK26" s="45">
        <f t="shared" si="13"/>
        <v>0</v>
      </c>
      <c r="HL26" s="45">
        <f t="shared" si="13"/>
        <v>0</v>
      </c>
      <c r="HM26" s="45">
        <f t="shared" si="13"/>
        <v>0</v>
      </c>
      <c r="HN26" s="45">
        <f t="shared" si="13"/>
        <v>0</v>
      </c>
      <c r="HO26" s="45">
        <f t="shared" si="13"/>
        <v>0</v>
      </c>
      <c r="HP26" s="45">
        <f t="shared" si="13"/>
        <v>0</v>
      </c>
      <c r="HQ26" s="45">
        <f t="shared" si="13"/>
        <v>0</v>
      </c>
      <c r="HR26" s="45">
        <f t="shared" si="13"/>
        <v>0</v>
      </c>
      <c r="HS26" s="45">
        <f t="shared" si="13"/>
        <v>0</v>
      </c>
      <c r="HT26" s="45">
        <f t="shared" si="13"/>
        <v>0</v>
      </c>
      <c r="HU26" s="45">
        <f t="shared" si="13"/>
        <v>0</v>
      </c>
      <c r="HV26" s="45">
        <f t="shared" si="13"/>
        <v>0</v>
      </c>
      <c r="HW26" s="45">
        <f t="shared" si="13"/>
        <v>0</v>
      </c>
      <c r="HX26" s="45">
        <f t="shared" si="13"/>
        <v>0</v>
      </c>
      <c r="HY26" s="45">
        <f t="shared" si="13"/>
        <v>0</v>
      </c>
      <c r="HZ26" s="45">
        <f t="shared" si="13"/>
        <v>0</v>
      </c>
      <c r="IA26" s="45">
        <f t="shared" si="13"/>
        <v>0</v>
      </c>
      <c r="IB26" s="45">
        <f t="shared" si="13"/>
        <v>0</v>
      </c>
      <c r="IC26" s="45">
        <f t="shared" si="13"/>
        <v>0</v>
      </c>
      <c r="ID26" s="45">
        <f t="shared" si="13"/>
        <v>0</v>
      </c>
      <c r="IE26" s="45">
        <f t="shared" si="13"/>
        <v>0</v>
      </c>
      <c r="IF26" s="45">
        <f t="shared" si="13"/>
        <v>0</v>
      </c>
      <c r="IG26" s="45">
        <f t="shared" si="13"/>
        <v>0</v>
      </c>
      <c r="IH26" s="45">
        <f t="shared" si="13"/>
        <v>0</v>
      </c>
      <c r="II26" s="45">
        <f t="shared" si="13"/>
        <v>0</v>
      </c>
      <c r="IJ26" s="45">
        <f t="shared" si="13"/>
        <v>0</v>
      </c>
      <c r="IK26" s="45">
        <f t="shared" si="13"/>
        <v>0</v>
      </c>
      <c r="IL26" s="45">
        <f t="shared" si="13"/>
        <v>0</v>
      </c>
      <c r="IM26" s="45">
        <f t="shared" si="13"/>
        <v>0</v>
      </c>
      <c r="IN26" s="45">
        <f t="shared" si="13"/>
        <v>0</v>
      </c>
      <c r="IO26" s="45">
        <f t="shared" si="13"/>
        <v>0</v>
      </c>
      <c r="IP26" s="45">
        <f t="shared" si="13"/>
        <v>0</v>
      </c>
      <c r="IQ26" s="45">
        <f t="shared" si="13"/>
        <v>0</v>
      </c>
      <c r="IR26" s="45">
        <f t="shared" si="13"/>
        <v>0</v>
      </c>
      <c r="IS26" s="45">
        <f t="shared" si="13"/>
        <v>0</v>
      </c>
      <c r="IT26" s="45">
        <f t="shared" si="13"/>
        <v>0</v>
      </c>
      <c r="IU26" s="45">
        <f t="shared" si="13"/>
        <v>0</v>
      </c>
      <c r="IV26" s="45">
        <f t="shared" si="13"/>
        <v>0</v>
      </c>
      <c r="IW26" s="45">
        <f t="shared" si="13"/>
        <v>0</v>
      </c>
      <c r="IX26" s="45">
        <f t="shared" si="13"/>
        <v>0</v>
      </c>
      <c r="IY26" s="45">
        <f t="shared" si="13"/>
        <v>0</v>
      </c>
      <c r="IZ26" s="45">
        <f t="shared" si="13"/>
        <v>0</v>
      </c>
      <c r="JA26" s="45">
        <f t="shared" si="13"/>
        <v>0</v>
      </c>
      <c r="JB26" s="45">
        <f t="shared" si="13"/>
        <v>0</v>
      </c>
      <c r="JC26" s="45">
        <f t="shared" si="13"/>
        <v>0</v>
      </c>
      <c r="JD26" s="45">
        <f t="shared" si="13"/>
        <v>0</v>
      </c>
      <c r="JE26" s="45">
        <f t="shared" si="13"/>
        <v>0</v>
      </c>
      <c r="JF26" s="45">
        <f t="shared" si="13"/>
        <v>0</v>
      </c>
      <c r="JG26" s="45">
        <f t="shared" si="13"/>
        <v>0</v>
      </c>
      <c r="JH26" s="45">
        <f t="shared" si="13"/>
        <v>0</v>
      </c>
      <c r="JI26" s="45">
        <f t="shared" si="13"/>
        <v>0</v>
      </c>
      <c r="JJ26" s="45">
        <f t="shared" si="13"/>
        <v>0</v>
      </c>
      <c r="JK26" s="45">
        <f t="shared" ref="JK26:KO26" si="14">SUM(JK18:JK25)</f>
        <v>0</v>
      </c>
      <c r="JL26" s="45">
        <f t="shared" si="14"/>
        <v>0</v>
      </c>
      <c r="JM26" s="45">
        <f t="shared" si="14"/>
        <v>0</v>
      </c>
      <c r="JN26" s="45">
        <f t="shared" si="14"/>
        <v>0</v>
      </c>
      <c r="JO26" s="45">
        <f t="shared" si="14"/>
        <v>0</v>
      </c>
      <c r="JP26" s="45">
        <f t="shared" si="14"/>
        <v>0</v>
      </c>
      <c r="JQ26" s="45">
        <f t="shared" si="14"/>
        <v>0</v>
      </c>
      <c r="JR26" s="45">
        <f t="shared" si="14"/>
        <v>0</v>
      </c>
      <c r="JS26" s="45">
        <f t="shared" si="14"/>
        <v>0</v>
      </c>
      <c r="JT26" s="45">
        <f t="shared" si="14"/>
        <v>0</v>
      </c>
      <c r="JU26" s="45">
        <f t="shared" si="14"/>
        <v>0</v>
      </c>
      <c r="JV26" s="45">
        <f t="shared" si="14"/>
        <v>0</v>
      </c>
      <c r="JW26" s="45">
        <f t="shared" si="14"/>
        <v>0</v>
      </c>
      <c r="JX26" s="45">
        <f t="shared" si="14"/>
        <v>0</v>
      </c>
      <c r="JY26" s="45">
        <f t="shared" si="14"/>
        <v>0</v>
      </c>
      <c r="JZ26" s="45">
        <f t="shared" si="14"/>
        <v>0</v>
      </c>
      <c r="KA26" s="45">
        <f t="shared" si="14"/>
        <v>0</v>
      </c>
      <c r="KB26" s="45">
        <f t="shared" si="14"/>
        <v>0</v>
      </c>
      <c r="KC26" s="45">
        <f t="shared" si="14"/>
        <v>0</v>
      </c>
      <c r="KD26" s="45">
        <f t="shared" si="14"/>
        <v>0</v>
      </c>
      <c r="KE26" s="45">
        <f t="shared" si="14"/>
        <v>0</v>
      </c>
      <c r="KF26" s="45">
        <f t="shared" si="14"/>
        <v>0</v>
      </c>
      <c r="KG26" s="45">
        <f t="shared" si="14"/>
        <v>0</v>
      </c>
      <c r="KH26" s="45">
        <f t="shared" si="14"/>
        <v>0</v>
      </c>
      <c r="KI26" s="45">
        <f t="shared" si="14"/>
        <v>0</v>
      </c>
      <c r="KJ26" s="45">
        <f t="shared" si="14"/>
        <v>0</v>
      </c>
      <c r="KK26" s="45">
        <f t="shared" si="14"/>
        <v>0</v>
      </c>
      <c r="KL26" s="45">
        <f t="shared" si="14"/>
        <v>0</v>
      </c>
      <c r="KM26" s="45">
        <f t="shared" si="14"/>
        <v>0</v>
      </c>
      <c r="KN26" s="45">
        <f t="shared" si="14"/>
        <v>0</v>
      </c>
      <c r="KO26" s="45">
        <f t="shared" si="14"/>
        <v>0</v>
      </c>
      <c r="KP26" s="45">
        <f t="shared" ref="KP26" si="15">SUM(KP18:KP25)</f>
        <v>0</v>
      </c>
    </row>
    <row r="27" spans="1:302" s="32" customFormat="1" ht="17" thickBot="1" x14ac:dyDescent="0.25">
      <c r="A27" s="41" t="s">
        <v>34</v>
      </c>
      <c r="B27" s="31" t="str">
        <f t="shared" ref="B27:U27" si="16">IF(OR(B16&lt;&gt;0,B26&lt;&gt;0),B16-B26,"")</f>
        <v/>
      </c>
      <c r="C27" s="31" t="str">
        <f t="shared" si="16"/>
        <v/>
      </c>
      <c r="D27" s="31" t="str">
        <f t="shared" si="16"/>
        <v/>
      </c>
      <c r="E27" s="31" t="str">
        <f t="shared" si="16"/>
        <v/>
      </c>
      <c r="F27" s="31" t="str">
        <f t="shared" si="16"/>
        <v/>
      </c>
      <c r="G27" s="31" t="str">
        <f t="shared" si="16"/>
        <v/>
      </c>
      <c r="H27" s="31" t="str">
        <f t="shared" si="16"/>
        <v/>
      </c>
      <c r="I27" s="31" t="str">
        <f t="shared" si="16"/>
        <v/>
      </c>
      <c r="J27" s="31" t="str">
        <f t="shared" si="16"/>
        <v/>
      </c>
      <c r="K27" s="31" t="str">
        <f t="shared" si="16"/>
        <v/>
      </c>
      <c r="L27" s="31" t="str">
        <f t="shared" si="16"/>
        <v/>
      </c>
      <c r="M27" s="31" t="str">
        <f t="shared" si="16"/>
        <v/>
      </c>
      <c r="N27" s="31" t="str">
        <f t="shared" si="16"/>
        <v/>
      </c>
      <c r="O27" s="31" t="str">
        <f t="shared" si="16"/>
        <v/>
      </c>
      <c r="P27" s="31" t="str">
        <f t="shared" si="16"/>
        <v/>
      </c>
      <c r="Q27" s="31" t="str">
        <f t="shared" si="16"/>
        <v/>
      </c>
      <c r="R27" s="31" t="str">
        <f t="shared" si="16"/>
        <v/>
      </c>
      <c r="S27" s="31" t="str">
        <f t="shared" si="16"/>
        <v/>
      </c>
      <c r="T27" s="31" t="str">
        <f t="shared" si="16"/>
        <v/>
      </c>
      <c r="U27" s="31" t="str">
        <f t="shared" si="16"/>
        <v/>
      </c>
      <c r="V27" s="31" t="str">
        <f t="shared" ref="V27:BN27" si="17">IF(OR(V16&lt;&gt;0,V26&lt;&gt;0),V16-V26,"")</f>
        <v/>
      </c>
      <c r="W27" s="31" t="str">
        <f t="shared" si="17"/>
        <v/>
      </c>
      <c r="X27" s="31" t="str">
        <f t="shared" si="17"/>
        <v/>
      </c>
      <c r="Y27" s="31" t="str">
        <f t="shared" si="17"/>
        <v/>
      </c>
      <c r="Z27" s="31" t="str">
        <f t="shared" si="17"/>
        <v/>
      </c>
      <c r="AA27" s="31" t="str">
        <f t="shared" si="17"/>
        <v/>
      </c>
      <c r="AB27" s="31" t="str">
        <f t="shared" si="17"/>
        <v/>
      </c>
      <c r="AC27" s="31" t="str">
        <f t="shared" si="17"/>
        <v/>
      </c>
      <c r="AD27" s="31" t="str">
        <f t="shared" si="17"/>
        <v/>
      </c>
      <c r="AE27" s="31" t="str">
        <f t="shared" si="17"/>
        <v/>
      </c>
      <c r="AF27" s="31" t="str">
        <f t="shared" si="17"/>
        <v/>
      </c>
      <c r="AG27" s="31" t="str">
        <f t="shared" si="17"/>
        <v/>
      </c>
      <c r="AH27" s="31" t="str">
        <f t="shared" si="17"/>
        <v/>
      </c>
      <c r="AI27" s="31" t="str">
        <f t="shared" si="17"/>
        <v/>
      </c>
      <c r="AJ27" s="31" t="str">
        <f t="shared" si="17"/>
        <v/>
      </c>
      <c r="AK27" s="31" t="str">
        <f t="shared" si="17"/>
        <v/>
      </c>
      <c r="AL27" s="31" t="str">
        <f t="shared" si="17"/>
        <v/>
      </c>
      <c r="AM27" s="31" t="str">
        <f t="shared" si="17"/>
        <v/>
      </c>
      <c r="AN27" s="31" t="str">
        <f t="shared" si="17"/>
        <v/>
      </c>
      <c r="AO27" s="31" t="str">
        <f t="shared" si="17"/>
        <v/>
      </c>
      <c r="AP27" s="31" t="str">
        <f t="shared" si="17"/>
        <v/>
      </c>
      <c r="AQ27" s="31" t="str">
        <f t="shared" si="17"/>
        <v/>
      </c>
      <c r="AR27" s="31" t="str">
        <f t="shared" si="17"/>
        <v/>
      </c>
      <c r="AS27" s="31" t="str">
        <f t="shared" si="17"/>
        <v/>
      </c>
      <c r="AT27" s="31" t="str">
        <f t="shared" si="17"/>
        <v/>
      </c>
      <c r="AU27" s="31" t="str">
        <f t="shared" si="17"/>
        <v/>
      </c>
      <c r="AV27" s="31" t="str">
        <f t="shared" si="17"/>
        <v/>
      </c>
      <c r="AW27" s="31" t="str">
        <f t="shared" si="17"/>
        <v/>
      </c>
      <c r="AX27" s="31" t="str">
        <f t="shared" si="17"/>
        <v/>
      </c>
      <c r="AY27" s="31" t="str">
        <f t="shared" si="17"/>
        <v/>
      </c>
      <c r="AZ27" s="31" t="str">
        <f t="shared" si="17"/>
        <v/>
      </c>
      <c r="BA27" s="31" t="str">
        <f t="shared" si="17"/>
        <v/>
      </c>
      <c r="BB27" s="31" t="str">
        <f t="shared" si="17"/>
        <v/>
      </c>
      <c r="BC27" s="31" t="str">
        <f t="shared" si="17"/>
        <v/>
      </c>
      <c r="BD27" s="31" t="str">
        <f t="shared" si="17"/>
        <v/>
      </c>
      <c r="BE27" s="31" t="str">
        <f t="shared" si="17"/>
        <v/>
      </c>
      <c r="BF27" s="31" t="str">
        <f t="shared" si="17"/>
        <v/>
      </c>
      <c r="BG27" s="31" t="str">
        <f t="shared" si="17"/>
        <v/>
      </c>
      <c r="BH27" s="31" t="str">
        <f t="shared" si="17"/>
        <v/>
      </c>
      <c r="BI27" s="31" t="str">
        <f t="shared" si="17"/>
        <v/>
      </c>
      <c r="BJ27" s="31" t="str">
        <f t="shared" si="17"/>
        <v/>
      </c>
      <c r="BK27" s="31" t="str">
        <f t="shared" si="17"/>
        <v/>
      </c>
      <c r="BL27" s="31" t="str">
        <f t="shared" si="17"/>
        <v/>
      </c>
      <c r="BM27" s="31" t="str">
        <f t="shared" si="17"/>
        <v/>
      </c>
      <c r="BN27" s="31" t="str">
        <f t="shared" si="17"/>
        <v/>
      </c>
      <c r="BO27" s="31" t="str">
        <f t="shared" ref="BO27:DE27" si="18">IF(OR(BO16&lt;&gt;0,BO26&lt;&gt;0),BO16-BO26,"")</f>
        <v/>
      </c>
      <c r="BP27" s="31" t="str">
        <f t="shared" si="18"/>
        <v/>
      </c>
      <c r="BQ27" s="31" t="str">
        <f t="shared" si="18"/>
        <v/>
      </c>
      <c r="BR27" s="31" t="str">
        <f t="shared" si="18"/>
        <v/>
      </c>
      <c r="BS27" s="31" t="str">
        <f t="shared" si="18"/>
        <v/>
      </c>
      <c r="BT27" s="31" t="str">
        <f t="shared" si="18"/>
        <v/>
      </c>
      <c r="BU27" s="31" t="str">
        <f t="shared" si="18"/>
        <v/>
      </c>
      <c r="BV27" s="31" t="str">
        <f t="shared" si="18"/>
        <v/>
      </c>
      <c r="BW27" s="31" t="str">
        <f t="shared" si="18"/>
        <v/>
      </c>
      <c r="BX27" s="31" t="str">
        <f t="shared" si="18"/>
        <v/>
      </c>
      <c r="BY27" s="31" t="str">
        <f t="shared" si="18"/>
        <v/>
      </c>
      <c r="BZ27" s="31" t="str">
        <f t="shared" si="18"/>
        <v/>
      </c>
      <c r="CA27" s="31" t="str">
        <f t="shared" si="18"/>
        <v/>
      </c>
      <c r="CB27" s="31" t="str">
        <f t="shared" si="18"/>
        <v/>
      </c>
      <c r="CC27" s="31" t="str">
        <f t="shared" si="18"/>
        <v/>
      </c>
      <c r="CD27" s="31" t="str">
        <f t="shared" si="18"/>
        <v/>
      </c>
      <c r="CE27" s="31" t="str">
        <f t="shared" si="18"/>
        <v/>
      </c>
      <c r="CF27" s="31" t="str">
        <f t="shared" si="18"/>
        <v/>
      </c>
      <c r="CG27" s="31" t="str">
        <f t="shared" si="18"/>
        <v/>
      </c>
      <c r="CH27" s="31" t="str">
        <f t="shared" si="18"/>
        <v/>
      </c>
      <c r="CI27" s="31" t="str">
        <f t="shared" si="18"/>
        <v/>
      </c>
      <c r="CJ27" s="31" t="str">
        <f t="shared" si="18"/>
        <v/>
      </c>
      <c r="CK27" s="31" t="str">
        <f t="shared" si="18"/>
        <v/>
      </c>
      <c r="CL27" s="31" t="str">
        <f t="shared" si="18"/>
        <v/>
      </c>
      <c r="CM27" s="31" t="str">
        <f t="shared" si="18"/>
        <v/>
      </c>
      <c r="CN27" s="31" t="str">
        <f t="shared" si="18"/>
        <v/>
      </c>
      <c r="CO27" s="31" t="str">
        <f t="shared" si="18"/>
        <v/>
      </c>
      <c r="CP27" s="31" t="str">
        <f t="shared" si="18"/>
        <v/>
      </c>
      <c r="CQ27" s="31" t="str">
        <f t="shared" si="18"/>
        <v/>
      </c>
      <c r="CR27" s="31" t="str">
        <f t="shared" si="18"/>
        <v/>
      </c>
      <c r="CS27" s="31" t="str">
        <f t="shared" si="18"/>
        <v/>
      </c>
      <c r="CT27" s="31" t="str">
        <f t="shared" si="18"/>
        <v/>
      </c>
      <c r="CU27" s="31" t="str">
        <f t="shared" si="18"/>
        <v/>
      </c>
      <c r="CV27" s="31" t="str">
        <f t="shared" si="18"/>
        <v/>
      </c>
      <c r="CW27" s="31" t="str">
        <f t="shared" si="18"/>
        <v/>
      </c>
      <c r="CX27" s="31" t="str">
        <f t="shared" si="18"/>
        <v/>
      </c>
      <c r="CY27" s="31" t="str">
        <f t="shared" si="18"/>
        <v/>
      </c>
      <c r="CZ27" s="31" t="str">
        <f t="shared" si="18"/>
        <v/>
      </c>
      <c r="DA27" s="31" t="str">
        <f t="shared" si="18"/>
        <v/>
      </c>
      <c r="DB27" s="31" t="str">
        <f t="shared" si="18"/>
        <v/>
      </c>
      <c r="DC27" s="31" t="str">
        <f t="shared" si="18"/>
        <v/>
      </c>
      <c r="DD27" s="31" t="str">
        <f t="shared" si="18"/>
        <v/>
      </c>
      <c r="DE27" s="31" t="str">
        <f t="shared" si="18"/>
        <v/>
      </c>
      <c r="DF27" s="31" t="str">
        <f t="shared" ref="DF27:EL27" si="19">IF(OR(DF16&lt;&gt;0,DF26&lt;&gt;0),DF16-DF26,"")</f>
        <v/>
      </c>
      <c r="DG27" s="31" t="str">
        <f t="shared" si="19"/>
        <v/>
      </c>
      <c r="DH27" s="31" t="str">
        <f t="shared" si="19"/>
        <v/>
      </c>
      <c r="DI27" s="31" t="str">
        <f t="shared" si="19"/>
        <v/>
      </c>
      <c r="DJ27" s="31" t="str">
        <f t="shared" si="19"/>
        <v/>
      </c>
      <c r="DK27" s="31" t="str">
        <f t="shared" si="19"/>
        <v/>
      </c>
      <c r="DL27" s="31" t="str">
        <f t="shared" si="19"/>
        <v/>
      </c>
      <c r="DM27" s="31" t="str">
        <f t="shared" si="19"/>
        <v/>
      </c>
      <c r="DN27" s="31" t="str">
        <f t="shared" si="19"/>
        <v/>
      </c>
      <c r="DO27" s="31" t="str">
        <f t="shared" si="19"/>
        <v/>
      </c>
      <c r="DP27" s="31" t="str">
        <f t="shared" si="19"/>
        <v/>
      </c>
      <c r="DQ27" s="31" t="str">
        <f t="shared" si="19"/>
        <v/>
      </c>
      <c r="DR27" s="31" t="str">
        <f t="shared" si="19"/>
        <v/>
      </c>
      <c r="DS27" s="31" t="str">
        <f t="shared" si="19"/>
        <v/>
      </c>
      <c r="DT27" s="31" t="str">
        <f t="shared" si="19"/>
        <v/>
      </c>
      <c r="DU27" s="31" t="str">
        <f t="shared" si="19"/>
        <v/>
      </c>
      <c r="DV27" s="31" t="str">
        <f t="shared" si="19"/>
        <v/>
      </c>
      <c r="DW27" s="31" t="str">
        <f t="shared" si="19"/>
        <v/>
      </c>
      <c r="DX27" s="31" t="str">
        <f t="shared" si="19"/>
        <v/>
      </c>
      <c r="DY27" s="31" t="str">
        <f t="shared" si="19"/>
        <v/>
      </c>
      <c r="DZ27" s="31" t="str">
        <f t="shared" si="19"/>
        <v/>
      </c>
      <c r="EA27" s="31" t="str">
        <f t="shared" si="19"/>
        <v/>
      </c>
      <c r="EB27" s="31" t="str">
        <f t="shared" si="19"/>
        <v/>
      </c>
      <c r="EC27" s="31" t="str">
        <f t="shared" si="19"/>
        <v/>
      </c>
      <c r="ED27" s="31" t="str">
        <f t="shared" si="19"/>
        <v/>
      </c>
      <c r="EE27" s="31" t="str">
        <f t="shared" si="19"/>
        <v/>
      </c>
      <c r="EF27" s="31" t="str">
        <f t="shared" si="19"/>
        <v/>
      </c>
      <c r="EG27" s="31" t="str">
        <f t="shared" si="19"/>
        <v/>
      </c>
      <c r="EH27" s="31" t="str">
        <f t="shared" si="19"/>
        <v/>
      </c>
      <c r="EI27" s="31" t="str">
        <f t="shared" si="19"/>
        <v/>
      </c>
      <c r="EJ27" s="31" t="str">
        <f t="shared" si="19"/>
        <v/>
      </c>
      <c r="EK27" s="31" t="str">
        <f t="shared" si="19"/>
        <v/>
      </c>
      <c r="EL27" s="31" t="str">
        <f t="shared" si="19"/>
        <v/>
      </c>
      <c r="EM27" s="31" t="str">
        <f t="shared" ref="EM27:GX27" si="20">IF(OR(EM16&lt;&gt;0,EM26&lt;&gt;0),EM16-EM26,"")</f>
        <v/>
      </c>
      <c r="EN27" s="31" t="str">
        <f t="shared" si="20"/>
        <v/>
      </c>
      <c r="EO27" s="31" t="str">
        <f t="shared" si="20"/>
        <v/>
      </c>
      <c r="EP27" s="31" t="str">
        <f t="shared" si="20"/>
        <v/>
      </c>
      <c r="EQ27" s="31" t="str">
        <f t="shared" si="20"/>
        <v/>
      </c>
      <c r="ER27" s="31" t="str">
        <f t="shared" si="20"/>
        <v/>
      </c>
      <c r="ES27" s="31" t="str">
        <f t="shared" si="20"/>
        <v/>
      </c>
      <c r="ET27" s="31" t="str">
        <f t="shared" si="20"/>
        <v/>
      </c>
      <c r="EU27" s="31" t="str">
        <f t="shared" si="20"/>
        <v/>
      </c>
      <c r="EV27" s="31" t="str">
        <f t="shared" si="20"/>
        <v/>
      </c>
      <c r="EW27" s="31" t="str">
        <f t="shared" si="20"/>
        <v/>
      </c>
      <c r="EX27" s="31" t="str">
        <f t="shared" si="20"/>
        <v/>
      </c>
      <c r="EY27" s="31" t="str">
        <f t="shared" si="20"/>
        <v/>
      </c>
      <c r="EZ27" s="31" t="str">
        <f t="shared" si="20"/>
        <v/>
      </c>
      <c r="FA27" s="31" t="str">
        <f t="shared" si="20"/>
        <v/>
      </c>
      <c r="FB27" s="31" t="str">
        <f t="shared" si="20"/>
        <v/>
      </c>
      <c r="FC27" s="31" t="str">
        <f t="shared" si="20"/>
        <v/>
      </c>
      <c r="FD27" s="31" t="str">
        <f t="shared" si="20"/>
        <v/>
      </c>
      <c r="FE27" s="31" t="str">
        <f t="shared" si="20"/>
        <v/>
      </c>
      <c r="FF27" s="31" t="str">
        <f t="shared" si="20"/>
        <v/>
      </c>
      <c r="FG27" s="31" t="str">
        <f t="shared" si="20"/>
        <v/>
      </c>
      <c r="FH27" s="31" t="str">
        <f t="shared" si="20"/>
        <v/>
      </c>
      <c r="FI27" s="31" t="str">
        <f t="shared" si="20"/>
        <v/>
      </c>
      <c r="FJ27" s="31" t="str">
        <f t="shared" si="20"/>
        <v/>
      </c>
      <c r="FK27" s="31" t="str">
        <f t="shared" si="20"/>
        <v/>
      </c>
      <c r="FL27" s="31" t="str">
        <f t="shared" si="20"/>
        <v/>
      </c>
      <c r="FM27" s="31" t="str">
        <f t="shared" si="20"/>
        <v/>
      </c>
      <c r="FN27" s="31" t="str">
        <f t="shared" si="20"/>
        <v/>
      </c>
      <c r="FO27" s="31" t="str">
        <f t="shared" si="20"/>
        <v/>
      </c>
      <c r="FP27" s="31" t="str">
        <f t="shared" si="20"/>
        <v/>
      </c>
      <c r="FQ27" s="31" t="str">
        <f t="shared" si="20"/>
        <v/>
      </c>
      <c r="FR27" s="31" t="str">
        <f t="shared" si="20"/>
        <v/>
      </c>
      <c r="FS27" s="31" t="str">
        <f t="shared" si="20"/>
        <v/>
      </c>
      <c r="FT27" s="31" t="str">
        <f t="shared" si="20"/>
        <v/>
      </c>
      <c r="FU27" s="31" t="str">
        <f t="shared" si="20"/>
        <v/>
      </c>
      <c r="FV27" s="31" t="str">
        <f t="shared" si="20"/>
        <v/>
      </c>
      <c r="FW27" s="31" t="str">
        <f t="shared" si="20"/>
        <v/>
      </c>
      <c r="FX27" s="31" t="str">
        <f t="shared" si="20"/>
        <v/>
      </c>
      <c r="FY27" s="31" t="str">
        <f t="shared" si="20"/>
        <v/>
      </c>
      <c r="FZ27" s="31" t="str">
        <f t="shared" si="20"/>
        <v/>
      </c>
      <c r="GA27" s="31" t="str">
        <f t="shared" si="20"/>
        <v/>
      </c>
      <c r="GB27" s="31" t="str">
        <f t="shared" si="20"/>
        <v/>
      </c>
      <c r="GC27" s="31" t="str">
        <f t="shared" si="20"/>
        <v/>
      </c>
      <c r="GD27" s="31" t="str">
        <f t="shared" si="20"/>
        <v/>
      </c>
      <c r="GE27" s="31" t="str">
        <f t="shared" si="20"/>
        <v/>
      </c>
      <c r="GF27" s="31" t="str">
        <f t="shared" si="20"/>
        <v/>
      </c>
      <c r="GG27" s="31" t="str">
        <f t="shared" si="20"/>
        <v/>
      </c>
      <c r="GH27" s="31" t="str">
        <f t="shared" si="20"/>
        <v/>
      </c>
      <c r="GI27" s="31" t="str">
        <f t="shared" si="20"/>
        <v/>
      </c>
      <c r="GJ27" s="31" t="str">
        <f t="shared" si="20"/>
        <v/>
      </c>
      <c r="GK27" s="31" t="str">
        <f t="shared" si="20"/>
        <v/>
      </c>
      <c r="GL27" s="31" t="str">
        <f t="shared" si="20"/>
        <v/>
      </c>
      <c r="GM27" s="31" t="str">
        <f t="shared" si="20"/>
        <v/>
      </c>
      <c r="GN27" s="31" t="str">
        <f t="shared" si="20"/>
        <v/>
      </c>
      <c r="GO27" s="31" t="str">
        <f t="shared" si="20"/>
        <v/>
      </c>
      <c r="GP27" s="31" t="str">
        <f t="shared" si="20"/>
        <v/>
      </c>
      <c r="GQ27" s="31" t="str">
        <f t="shared" si="20"/>
        <v/>
      </c>
      <c r="GR27" s="31" t="str">
        <f t="shared" si="20"/>
        <v/>
      </c>
      <c r="GS27" s="31" t="str">
        <f t="shared" si="20"/>
        <v/>
      </c>
      <c r="GT27" s="31" t="str">
        <f t="shared" si="20"/>
        <v/>
      </c>
      <c r="GU27" s="31" t="str">
        <f t="shared" si="20"/>
        <v/>
      </c>
      <c r="GV27" s="31" t="str">
        <f t="shared" si="20"/>
        <v/>
      </c>
      <c r="GW27" s="31" t="str">
        <f t="shared" si="20"/>
        <v/>
      </c>
      <c r="GX27" s="31" t="str">
        <f t="shared" si="20"/>
        <v/>
      </c>
      <c r="GY27" s="31" t="str">
        <f t="shared" ref="GY27:JJ27" si="21">IF(OR(GY16&lt;&gt;0,GY26&lt;&gt;0),GY16-GY26,"")</f>
        <v/>
      </c>
      <c r="GZ27" s="31" t="str">
        <f t="shared" si="21"/>
        <v/>
      </c>
      <c r="HA27" s="31" t="str">
        <f t="shared" si="21"/>
        <v/>
      </c>
      <c r="HB27" s="31" t="str">
        <f t="shared" si="21"/>
        <v/>
      </c>
      <c r="HC27" s="31" t="str">
        <f t="shared" si="21"/>
        <v/>
      </c>
      <c r="HD27" s="31" t="str">
        <f t="shared" si="21"/>
        <v/>
      </c>
      <c r="HE27" s="31" t="str">
        <f t="shared" si="21"/>
        <v/>
      </c>
      <c r="HF27" s="31" t="str">
        <f t="shared" si="21"/>
        <v/>
      </c>
      <c r="HG27" s="31" t="str">
        <f t="shared" si="21"/>
        <v/>
      </c>
      <c r="HH27" s="31" t="str">
        <f t="shared" si="21"/>
        <v/>
      </c>
      <c r="HI27" s="31" t="str">
        <f t="shared" si="21"/>
        <v/>
      </c>
      <c r="HJ27" s="31" t="str">
        <f t="shared" si="21"/>
        <v/>
      </c>
      <c r="HK27" s="31" t="str">
        <f t="shared" si="21"/>
        <v/>
      </c>
      <c r="HL27" s="31" t="str">
        <f t="shared" si="21"/>
        <v/>
      </c>
      <c r="HM27" s="31" t="str">
        <f t="shared" si="21"/>
        <v/>
      </c>
      <c r="HN27" s="31" t="str">
        <f t="shared" si="21"/>
        <v/>
      </c>
      <c r="HO27" s="31" t="str">
        <f t="shared" si="21"/>
        <v/>
      </c>
      <c r="HP27" s="31" t="str">
        <f t="shared" si="21"/>
        <v/>
      </c>
      <c r="HQ27" s="31" t="str">
        <f t="shared" si="21"/>
        <v/>
      </c>
      <c r="HR27" s="31" t="str">
        <f t="shared" si="21"/>
        <v/>
      </c>
      <c r="HS27" s="31" t="str">
        <f t="shared" si="21"/>
        <v/>
      </c>
      <c r="HT27" s="31" t="str">
        <f t="shared" si="21"/>
        <v/>
      </c>
      <c r="HU27" s="31" t="str">
        <f t="shared" si="21"/>
        <v/>
      </c>
      <c r="HV27" s="31" t="str">
        <f t="shared" si="21"/>
        <v/>
      </c>
      <c r="HW27" s="31" t="str">
        <f t="shared" si="21"/>
        <v/>
      </c>
      <c r="HX27" s="31" t="str">
        <f t="shared" si="21"/>
        <v/>
      </c>
      <c r="HY27" s="31" t="str">
        <f t="shared" si="21"/>
        <v/>
      </c>
      <c r="HZ27" s="31" t="str">
        <f t="shared" si="21"/>
        <v/>
      </c>
      <c r="IA27" s="31" t="str">
        <f t="shared" si="21"/>
        <v/>
      </c>
      <c r="IB27" s="31" t="str">
        <f t="shared" si="21"/>
        <v/>
      </c>
      <c r="IC27" s="31" t="str">
        <f t="shared" si="21"/>
        <v/>
      </c>
      <c r="ID27" s="31" t="str">
        <f t="shared" si="21"/>
        <v/>
      </c>
      <c r="IE27" s="31" t="str">
        <f t="shared" si="21"/>
        <v/>
      </c>
      <c r="IF27" s="31" t="str">
        <f t="shared" si="21"/>
        <v/>
      </c>
      <c r="IG27" s="31" t="str">
        <f t="shared" si="21"/>
        <v/>
      </c>
      <c r="IH27" s="31" t="str">
        <f t="shared" si="21"/>
        <v/>
      </c>
      <c r="II27" s="31" t="str">
        <f t="shared" si="21"/>
        <v/>
      </c>
      <c r="IJ27" s="31" t="str">
        <f t="shared" si="21"/>
        <v/>
      </c>
      <c r="IK27" s="31" t="str">
        <f t="shared" si="21"/>
        <v/>
      </c>
      <c r="IL27" s="31" t="str">
        <f t="shared" si="21"/>
        <v/>
      </c>
      <c r="IM27" s="31" t="str">
        <f t="shared" si="21"/>
        <v/>
      </c>
      <c r="IN27" s="31" t="str">
        <f t="shared" si="21"/>
        <v/>
      </c>
      <c r="IO27" s="31" t="str">
        <f t="shared" si="21"/>
        <v/>
      </c>
      <c r="IP27" s="31" t="str">
        <f t="shared" si="21"/>
        <v/>
      </c>
      <c r="IQ27" s="31" t="str">
        <f t="shared" si="21"/>
        <v/>
      </c>
      <c r="IR27" s="31" t="str">
        <f t="shared" si="21"/>
        <v/>
      </c>
      <c r="IS27" s="31" t="str">
        <f t="shared" si="21"/>
        <v/>
      </c>
      <c r="IT27" s="31" t="str">
        <f t="shared" si="21"/>
        <v/>
      </c>
      <c r="IU27" s="31" t="str">
        <f t="shared" si="21"/>
        <v/>
      </c>
      <c r="IV27" s="31" t="str">
        <f t="shared" si="21"/>
        <v/>
      </c>
      <c r="IW27" s="31" t="str">
        <f t="shared" si="21"/>
        <v/>
      </c>
      <c r="IX27" s="31" t="str">
        <f t="shared" si="21"/>
        <v/>
      </c>
      <c r="IY27" s="31" t="str">
        <f t="shared" si="21"/>
        <v/>
      </c>
      <c r="IZ27" s="31" t="str">
        <f t="shared" si="21"/>
        <v/>
      </c>
      <c r="JA27" s="31" t="str">
        <f t="shared" si="21"/>
        <v/>
      </c>
      <c r="JB27" s="31" t="str">
        <f t="shared" si="21"/>
        <v/>
      </c>
      <c r="JC27" s="31" t="str">
        <f t="shared" si="21"/>
        <v/>
      </c>
      <c r="JD27" s="31" t="str">
        <f t="shared" si="21"/>
        <v/>
      </c>
      <c r="JE27" s="31" t="str">
        <f t="shared" si="21"/>
        <v/>
      </c>
      <c r="JF27" s="31" t="str">
        <f t="shared" si="21"/>
        <v/>
      </c>
      <c r="JG27" s="31" t="str">
        <f t="shared" si="21"/>
        <v/>
      </c>
      <c r="JH27" s="31" t="str">
        <f t="shared" si="21"/>
        <v/>
      </c>
      <c r="JI27" s="31" t="str">
        <f t="shared" si="21"/>
        <v/>
      </c>
      <c r="JJ27" s="31" t="str">
        <f t="shared" si="21"/>
        <v/>
      </c>
      <c r="JK27" s="31" t="str">
        <f t="shared" ref="JK27:KO27" si="22">IF(OR(JK16&lt;&gt;0,JK26&lt;&gt;0),JK16-JK26,"")</f>
        <v/>
      </c>
      <c r="JL27" s="31" t="str">
        <f t="shared" si="22"/>
        <v/>
      </c>
      <c r="JM27" s="31" t="str">
        <f t="shared" si="22"/>
        <v/>
      </c>
      <c r="JN27" s="31" t="str">
        <f t="shared" si="22"/>
        <v/>
      </c>
      <c r="JO27" s="31" t="str">
        <f t="shared" si="22"/>
        <v/>
      </c>
      <c r="JP27" s="31" t="str">
        <f t="shared" si="22"/>
        <v/>
      </c>
      <c r="JQ27" s="31" t="str">
        <f t="shared" si="22"/>
        <v/>
      </c>
      <c r="JR27" s="31" t="str">
        <f t="shared" si="22"/>
        <v/>
      </c>
      <c r="JS27" s="31" t="str">
        <f t="shared" si="22"/>
        <v/>
      </c>
      <c r="JT27" s="31" t="str">
        <f t="shared" si="22"/>
        <v/>
      </c>
      <c r="JU27" s="31" t="str">
        <f t="shared" si="22"/>
        <v/>
      </c>
      <c r="JV27" s="31" t="str">
        <f t="shared" si="22"/>
        <v/>
      </c>
      <c r="JW27" s="31" t="str">
        <f t="shared" si="22"/>
        <v/>
      </c>
      <c r="JX27" s="31" t="str">
        <f t="shared" si="22"/>
        <v/>
      </c>
      <c r="JY27" s="31" t="str">
        <f t="shared" si="22"/>
        <v/>
      </c>
      <c r="JZ27" s="31" t="str">
        <f t="shared" si="22"/>
        <v/>
      </c>
      <c r="KA27" s="31" t="str">
        <f t="shared" si="22"/>
        <v/>
      </c>
      <c r="KB27" s="31" t="str">
        <f t="shared" si="22"/>
        <v/>
      </c>
      <c r="KC27" s="31" t="str">
        <f t="shared" si="22"/>
        <v/>
      </c>
      <c r="KD27" s="31" t="str">
        <f t="shared" si="22"/>
        <v/>
      </c>
      <c r="KE27" s="31" t="str">
        <f t="shared" si="22"/>
        <v/>
      </c>
      <c r="KF27" s="31" t="str">
        <f t="shared" si="22"/>
        <v/>
      </c>
      <c r="KG27" s="31" t="str">
        <f t="shared" si="22"/>
        <v/>
      </c>
      <c r="KH27" s="31" t="str">
        <f t="shared" si="22"/>
        <v/>
      </c>
      <c r="KI27" s="31" t="str">
        <f t="shared" si="22"/>
        <v/>
      </c>
      <c r="KJ27" s="31" t="str">
        <f t="shared" si="22"/>
        <v/>
      </c>
      <c r="KK27" s="31" t="str">
        <f t="shared" si="22"/>
        <v/>
      </c>
      <c r="KL27" s="31" t="str">
        <f t="shared" si="22"/>
        <v/>
      </c>
      <c r="KM27" s="31" t="str">
        <f t="shared" si="22"/>
        <v/>
      </c>
      <c r="KN27" s="31" t="str">
        <f t="shared" si="22"/>
        <v/>
      </c>
      <c r="KO27" s="31" t="str">
        <f t="shared" si="22"/>
        <v/>
      </c>
      <c r="KP27" s="31" t="str">
        <f t="shared" ref="KP27" si="23">IF(OR(KP16&lt;&gt;0,KP26&lt;&gt;0),KP16-KP26,"")</f>
        <v/>
      </c>
    </row>
    <row r="28" spans="1:302" s="28" customFormat="1" hidden="1" outlineLevel="1" x14ac:dyDescent="0.2">
      <c r="A28" s="34" t="s">
        <v>37</v>
      </c>
      <c r="B28" s="29" t="s">
        <v>84</v>
      </c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/>
      <c r="BO28" s="29"/>
      <c r="BP28" s="29"/>
      <c r="BQ28" s="29"/>
      <c r="BR28" s="29"/>
      <c r="BS28" s="29"/>
      <c r="BT28" s="29"/>
      <c r="BU28" s="29"/>
      <c r="BV28" s="29"/>
      <c r="BW28" s="29"/>
      <c r="BX28" s="29"/>
      <c r="BY28" s="29"/>
      <c r="BZ28" s="29"/>
      <c r="CA28" s="29"/>
      <c r="CB28" s="29"/>
      <c r="CC28" s="29"/>
      <c r="CD28" s="29"/>
      <c r="CE28" s="29"/>
      <c r="CF28" s="29"/>
      <c r="CG28" s="29"/>
      <c r="CH28" s="29"/>
      <c r="CI28" s="29"/>
      <c r="CJ28" s="29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29"/>
      <c r="CX28" s="29"/>
      <c r="CY28" s="29"/>
      <c r="CZ28" s="29"/>
      <c r="DA28" s="29"/>
      <c r="DB28" s="29"/>
      <c r="DC28" s="29"/>
      <c r="DD28" s="29"/>
      <c r="DE28" s="29"/>
    </row>
    <row r="29" spans="1:302" customFormat="1" hidden="1" outlineLevel="1" x14ac:dyDescent="0.2">
      <c r="A29" s="33">
        <f t="shared" ref="A29:A32" si="24">A30-0.005</f>
        <v>-2.5000000000000001E-2</v>
      </c>
      <c r="B29" s="29" t="str">
        <f>IFERROR(B$27*(1+$A29)^-B$6,"")</f>
        <v/>
      </c>
      <c r="C29" s="29" t="str">
        <f t="shared" ref="C29:BN30" si="25">IFERROR(C$27*(1+$A29)^-C$6,"")</f>
        <v/>
      </c>
      <c r="D29" s="29" t="str">
        <f t="shared" si="25"/>
        <v/>
      </c>
      <c r="E29" s="29" t="str">
        <f t="shared" si="25"/>
        <v/>
      </c>
      <c r="F29" s="29" t="str">
        <f t="shared" si="25"/>
        <v/>
      </c>
      <c r="G29" s="29" t="str">
        <f t="shared" si="25"/>
        <v/>
      </c>
      <c r="H29" s="29" t="str">
        <f t="shared" si="25"/>
        <v/>
      </c>
      <c r="I29" s="29" t="str">
        <f t="shared" si="25"/>
        <v/>
      </c>
      <c r="J29" s="29" t="str">
        <f t="shared" si="25"/>
        <v/>
      </c>
      <c r="K29" s="29" t="str">
        <f t="shared" si="25"/>
        <v/>
      </c>
      <c r="L29" s="29" t="str">
        <f t="shared" si="25"/>
        <v/>
      </c>
      <c r="M29" s="29" t="str">
        <f t="shared" si="25"/>
        <v/>
      </c>
      <c r="N29" s="29" t="str">
        <f t="shared" si="25"/>
        <v/>
      </c>
      <c r="O29" s="29" t="str">
        <f t="shared" si="25"/>
        <v/>
      </c>
      <c r="P29" s="29" t="str">
        <f t="shared" si="25"/>
        <v/>
      </c>
      <c r="Q29" s="29" t="str">
        <f t="shared" si="25"/>
        <v/>
      </c>
      <c r="R29" s="29" t="str">
        <f t="shared" si="25"/>
        <v/>
      </c>
      <c r="S29" s="29" t="str">
        <f t="shared" si="25"/>
        <v/>
      </c>
      <c r="T29" s="29" t="str">
        <f t="shared" si="25"/>
        <v/>
      </c>
      <c r="U29" s="29" t="str">
        <f t="shared" si="25"/>
        <v/>
      </c>
      <c r="V29" s="29" t="str">
        <f t="shared" si="25"/>
        <v/>
      </c>
      <c r="W29" s="29" t="str">
        <f t="shared" si="25"/>
        <v/>
      </c>
      <c r="X29" s="29" t="str">
        <f t="shared" si="25"/>
        <v/>
      </c>
      <c r="Y29" s="29" t="str">
        <f t="shared" si="25"/>
        <v/>
      </c>
      <c r="Z29" s="29" t="str">
        <f t="shared" si="25"/>
        <v/>
      </c>
      <c r="AA29" s="29" t="str">
        <f t="shared" si="25"/>
        <v/>
      </c>
      <c r="AB29" s="29" t="str">
        <f t="shared" si="25"/>
        <v/>
      </c>
      <c r="AC29" s="29" t="str">
        <f t="shared" si="25"/>
        <v/>
      </c>
      <c r="AD29" s="29" t="str">
        <f t="shared" si="25"/>
        <v/>
      </c>
      <c r="AE29" s="29" t="str">
        <f t="shared" si="25"/>
        <v/>
      </c>
      <c r="AF29" s="29" t="str">
        <f t="shared" si="25"/>
        <v/>
      </c>
      <c r="AG29" s="29" t="str">
        <f t="shared" si="25"/>
        <v/>
      </c>
      <c r="AH29" s="29" t="str">
        <f t="shared" si="25"/>
        <v/>
      </c>
      <c r="AI29" s="29" t="str">
        <f t="shared" si="25"/>
        <v/>
      </c>
      <c r="AJ29" s="29" t="str">
        <f t="shared" si="25"/>
        <v/>
      </c>
      <c r="AK29" s="29" t="str">
        <f t="shared" si="25"/>
        <v/>
      </c>
      <c r="AL29" s="29" t="str">
        <f t="shared" si="25"/>
        <v/>
      </c>
      <c r="AM29" s="29" t="str">
        <f t="shared" si="25"/>
        <v/>
      </c>
      <c r="AN29" s="29" t="str">
        <f t="shared" si="25"/>
        <v/>
      </c>
      <c r="AO29" s="29" t="str">
        <f t="shared" si="25"/>
        <v/>
      </c>
      <c r="AP29" s="29" t="str">
        <f t="shared" si="25"/>
        <v/>
      </c>
      <c r="AQ29" s="29" t="str">
        <f t="shared" si="25"/>
        <v/>
      </c>
      <c r="AR29" s="29" t="str">
        <f t="shared" si="25"/>
        <v/>
      </c>
      <c r="AS29" s="29" t="str">
        <f t="shared" si="25"/>
        <v/>
      </c>
      <c r="AT29" s="29" t="str">
        <f t="shared" si="25"/>
        <v/>
      </c>
      <c r="AU29" s="29" t="str">
        <f t="shared" si="25"/>
        <v/>
      </c>
      <c r="AV29" s="29" t="str">
        <f t="shared" si="25"/>
        <v/>
      </c>
      <c r="AW29" s="29" t="str">
        <f t="shared" si="25"/>
        <v/>
      </c>
      <c r="AX29" s="29" t="str">
        <f t="shared" si="25"/>
        <v/>
      </c>
      <c r="AY29" s="29" t="str">
        <f t="shared" si="25"/>
        <v/>
      </c>
      <c r="AZ29" s="29" t="str">
        <f t="shared" si="25"/>
        <v/>
      </c>
      <c r="BA29" s="29" t="str">
        <f t="shared" si="25"/>
        <v/>
      </c>
      <c r="BB29" s="29" t="str">
        <f t="shared" si="25"/>
        <v/>
      </c>
      <c r="BC29" s="29" t="str">
        <f t="shared" si="25"/>
        <v/>
      </c>
      <c r="BD29" s="29" t="str">
        <f t="shared" si="25"/>
        <v/>
      </c>
      <c r="BE29" s="29" t="str">
        <f t="shared" si="25"/>
        <v/>
      </c>
      <c r="BF29" s="29" t="str">
        <f t="shared" si="25"/>
        <v/>
      </c>
      <c r="BG29" s="29" t="str">
        <f t="shared" si="25"/>
        <v/>
      </c>
      <c r="BH29" s="29" t="str">
        <f t="shared" si="25"/>
        <v/>
      </c>
      <c r="BI29" s="29" t="str">
        <f t="shared" si="25"/>
        <v/>
      </c>
      <c r="BJ29" s="29" t="str">
        <f t="shared" si="25"/>
        <v/>
      </c>
      <c r="BK29" s="29" t="str">
        <f t="shared" si="25"/>
        <v/>
      </c>
      <c r="BL29" s="29" t="str">
        <f t="shared" si="25"/>
        <v/>
      </c>
      <c r="BM29" s="29" t="str">
        <f t="shared" si="25"/>
        <v/>
      </c>
      <c r="BN29" s="29" t="str">
        <f t="shared" si="25"/>
        <v/>
      </c>
      <c r="BO29" s="29" t="str">
        <f t="shared" ref="BO29:DZ32" si="26">IFERROR(BO$27*(1+$A29)^-BO$6,"")</f>
        <v/>
      </c>
      <c r="BP29" s="29" t="str">
        <f t="shared" si="26"/>
        <v/>
      </c>
      <c r="BQ29" s="29" t="str">
        <f t="shared" si="26"/>
        <v/>
      </c>
      <c r="BR29" s="29" t="str">
        <f t="shared" si="26"/>
        <v/>
      </c>
      <c r="BS29" s="29" t="str">
        <f t="shared" si="26"/>
        <v/>
      </c>
      <c r="BT29" s="29" t="str">
        <f t="shared" si="26"/>
        <v/>
      </c>
      <c r="BU29" s="29" t="str">
        <f t="shared" si="26"/>
        <v/>
      </c>
      <c r="BV29" s="29" t="str">
        <f t="shared" si="26"/>
        <v/>
      </c>
      <c r="BW29" s="29" t="str">
        <f t="shared" si="26"/>
        <v/>
      </c>
      <c r="BX29" s="29" t="str">
        <f t="shared" si="26"/>
        <v/>
      </c>
      <c r="BY29" s="29" t="str">
        <f t="shared" si="26"/>
        <v/>
      </c>
      <c r="BZ29" s="29" t="str">
        <f t="shared" si="26"/>
        <v/>
      </c>
      <c r="CA29" s="29" t="str">
        <f t="shared" si="26"/>
        <v/>
      </c>
      <c r="CB29" s="29" t="str">
        <f t="shared" si="26"/>
        <v/>
      </c>
      <c r="CC29" s="29" t="str">
        <f t="shared" si="26"/>
        <v/>
      </c>
      <c r="CD29" s="29" t="str">
        <f t="shared" si="26"/>
        <v/>
      </c>
      <c r="CE29" s="29" t="str">
        <f t="shared" si="26"/>
        <v/>
      </c>
      <c r="CF29" s="29" t="str">
        <f t="shared" si="26"/>
        <v/>
      </c>
      <c r="CG29" s="29" t="str">
        <f t="shared" si="26"/>
        <v/>
      </c>
      <c r="CH29" s="29" t="str">
        <f t="shared" si="26"/>
        <v/>
      </c>
      <c r="CI29" s="29" t="str">
        <f t="shared" si="26"/>
        <v/>
      </c>
      <c r="CJ29" s="29" t="str">
        <f t="shared" si="26"/>
        <v/>
      </c>
      <c r="CK29" s="29" t="str">
        <f t="shared" si="26"/>
        <v/>
      </c>
      <c r="CL29" s="29" t="str">
        <f t="shared" si="26"/>
        <v/>
      </c>
      <c r="CM29" s="29" t="str">
        <f t="shared" si="26"/>
        <v/>
      </c>
      <c r="CN29" s="29" t="str">
        <f t="shared" si="26"/>
        <v/>
      </c>
      <c r="CO29" s="29" t="str">
        <f t="shared" si="26"/>
        <v/>
      </c>
      <c r="CP29" s="29" t="str">
        <f t="shared" si="26"/>
        <v/>
      </c>
      <c r="CQ29" s="29" t="str">
        <f t="shared" si="26"/>
        <v/>
      </c>
      <c r="CR29" s="29" t="str">
        <f t="shared" si="26"/>
        <v/>
      </c>
      <c r="CS29" s="29" t="str">
        <f t="shared" si="26"/>
        <v/>
      </c>
      <c r="CT29" s="29" t="str">
        <f t="shared" si="26"/>
        <v/>
      </c>
      <c r="CU29" s="29" t="str">
        <f t="shared" si="26"/>
        <v/>
      </c>
      <c r="CV29" s="29" t="str">
        <f t="shared" si="26"/>
        <v/>
      </c>
      <c r="CW29" s="29" t="str">
        <f t="shared" si="26"/>
        <v/>
      </c>
      <c r="CX29" s="29" t="str">
        <f t="shared" si="26"/>
        <v/>
      </c>
      <c r="CY29" s="29" t="str">
        <f t="shared" si="26"/>
        <v/>
      </c>
      <c r="CZ29" s="29" t="str">
        <f t="shared" si="26"/>
        <v/>
      </c>
      <c r="DA29" s="29" t="str">
        <f t="shared" si="26"/>
        <v/>
      </c>
      <c r="DB29" s="29" t="str">
        <f t="shared" si="26"/>
        <v/>
      </c>
      <c r="DC29" s="29" t="str">
        <f t="shared" si="26"/>
        <v/>
      </c>
      <c r="DD29" s="29" t="str">
        <f t="shared" si="26"/>
        <v/>
      </c>
      <c r="DE29" s="29" t="str">
        <f t="shared" si="26"/>
        <v/>
      </c>
      <c r="DF29" s="29" t="str">
        <f t="shared" si="26"/>
        <v/>
      </c>
      <c r="DG29" s="29" t="str">
        <f t="shared" si="26"/>
        <v/>
      </c>
      <c r="DH29" s="29" t="str">
        <f t="shared" si="26"/>
        <v/>
      </c>
      <c r="DI29" s="29" t="str">
        <f t="shared" si="26"/>
        <v/>
      </c>
      <c r="DJ29" s="29" t="str">
        <f t="shared" si="26"/>
        <v/>
      </c>
      <c r="DK29" s="29" t="str">
        <f t="shared" si="26"/>
        <v/>
      </c>
      <c r="DL29" s="29" t="str">
        <f t="shared" si="26"/>
        <v/>
      </c>
      <c r="DM29" s="29" t="str">
        <f t="shared" si="26"/>
        <v/>
      </c>
      <c r="DN29" s="29" t="str">
        <f t="shared" si="26"/>
        <v/>
      </c>
      <c r="DO29" s="29" t="str">
        <f t="shared" si="26"/>
        <v/>
      </c>
      <c r="DP29" s="29" t="str">
        <f t="shared" si="26"/>
        <v/>
      </c>
      <c r="DQ29" s="29" t="str">
        <f t="shared" si="26"/>
        <v/>
      </c>
      <c r="DR29" s="29" t="str">
        <f t="shared" si="26"/>
        <v/>
      </c>
      <c r="DS29" s="29" t="str">
        <f t="shared" si="26"/>
        <v/>
      </c>
      <c r="DT29" s="29" t="str">
        <f t="shared" si="26"/>
        <v/>
      </c>
      <c r="DU29" s="29" t="str">
        <f t="shared" si="26"/>
        <v/>
      </c>
      <c r="DV29" s="29" t="str">
        <f t="shared" si="26"/>
        <v/>
      </c>
      <c r="DW29" s="29" t="str">
        <f t="shared" si="26"/>
        <v/>
      </c>
      <c r="DX29" s="29" t="str">
        <f t="shared" si="26"/>
        <v/>
      </c>
      <c r="DY29" s="29" t="str">
        <f t="shared" si="26"/>
        <v/>
      </c>
      <c r="DZ29" s="29" t="str">
        <f t="shared" si="26"/>
        <v/>
      </c>
      <c r="EA29" s="29" t="str">
        <f t="shared" ref="EA29:GL35" si="27">IFERROR(EA$27*(1+$A29)^-EA$6,"")</f>
        <v/>
      </c>
      <c r="EB29" s="29" t="str">
        <f t="shared" si="27"/>
        <v/>
      </c>
      <c r="EC29" s="29" t="str">
        <f t="shared" si="27"/>
        <v/>
      </c>
      <c r="ED29" s="29" t="str">
        <f t="shared" si="27"/>
        <v/>
      </c>
      <c r="EE29" s="29" t="str">
        <f t="shared" si="27"/>
        <v/>
      </c>
      <c r="EF29" s="29" t="str">
        <f t="shared" si="27"/>
        <v/>
      </c>
      <c r="EG29" s="29" t="str">
        <f t="shared" si="27"/>
        <v/>
      </c>
      <c r="EH29" s="29" t="str">
        <f t="shared" si="27"/>
        <v/>
      </c>
      <c r="EI29" s="29" t="str">
        <f t="shared" si="27"/>
        <v/>
      </c>
      <c r="EJ29" s="29" t="str">
        <f t="shared" si="27"/>
        <v/>
      </c>
      <c r="EK29" s="29" t="str">
        <f t="shared" si="27"/>
        <v/>
      </c>
      <c r="EL29" s="29" t="str">
        <f t="shared" si="27"/>
        <v/>
      </c>
      <c r="EM29" s="29" t="str">
        <f t="shared" si="27"/>
        <v/>
      </c>
      <c r="EN29" s="29" t="str">
        <f t="shared" si="27"/>
        <v/>
      </c>
      <c r="EO29" s="29" t="str">
        <f t="shared" si="27"/>
        <v/>
      </c>
      <c r="EP29" s="29" t="str">
        <f t="shared" si="27"/>
        <v/>
      </c>
      <c r="EQ29" s="29" t="str">
        <f t="shared" si="27"/>
        <v/>
      </c>
      <c r="ER29" s="29" t="str">
        <f t="shared" si="27"/>
        <v/>
      </c>
      <c r="ES29" s="29" t="str">
        <f t="shared" si="27"/>
        <v/>
      </c>
      <c r="ET29" s="29" t="str">
        <f t="shared" si="27"/>
        <v/>
      </c>
      <c r="EU29" s="29" t="str">
        <f t="shared" si="27"/>
        <v/>
      </c>
      <c r="EV29" s="29" t="str">
        <f t="shared" si="27"/>
        <v/>
      </c>
      <c r="EW29" s="29" t="str">
        <f t="shared" si="27"/>
        <v/>
      </c>
      <c r="EX29" s="29" t="str">
        <f t="shared" si="27"/>
        <v/>
      </c>
      <c r="EY29" s="29" t="str">
        <f t="shared" si="27"/>
        <v/>
      </c>
      <c r="EZ29" s="29" t="str">
        <f t="shared" si="27"/>
        <v/>
      </c>
      <c r="FA29" s="29" t="str">
        <f t="shared" si="27"/>
        <v/>
      </c>
      <c r="FB29" s="29" t="str">
        <f t="shared" si="27"/>
        <v/>
      </c>
      <c r="FC29" s="29" t="str">
        <f t="shared" si="27"/>
        <v/>
      </c>
      <c r="FD29" s="29" t="str">
        <f t="shared" si="27"/>
        <v/>
      </c>
      <c r="FE29" s="29" t="str">
        <f t="shared" si="27"/>
        <v/>
      </c>
      <c r="FF29" s="29" t="str">
        <f t="shared" si="27"/>
        <v/>
      </c>
      <c r="FG29" s="29" t="str">
        <f t="shared" si="27"/>
        <v/>
      </c>
      <c r="FH29" s="29" t="str">
        <f t="shared" si="27"/>
        <v/>
      </c>
      <c r="FI29" s="29" t="str">
        <f t="shared" si="27"/>
        <v/>
      </c>
      <c r="FJ29" s="29" t="str">
        <f t="shared" si="27"/>
        <v/>
      </c>
      <c r="FK29" s="29" t="str">
        <f t="shared" si="27"/>
        <v/>
      </c>
      <c r="FL29" s="29" t="str">
        <f t="shared" si="27"/>
        <v/>
      </c>
      <c r="FM29" s="29" t="str">
        <f t="shared" si="27"/>
        <v/>
      </c>
      <c r="FN29" s="29" t="str">
        <f t="shared" si="27"/>
        <v/>
      </c>
      <c r="FO29" s="29" t="str">
        <f t="shared" si="27"/>
        <v/>
      </c>
      <c r="FP29" s="29" t="str">
        <f t="shared" si="27"/>
        <v/>
      </c>
      <c r="FQ29" s="29" t="str">
        <f t="shared" si="27"/>
        <v/>
      </c>
      <c r="FR29" s="29" t="str">
        <f t="shared" si="27"/>
        <v/>
      </c>
      <c r="FS29" s="29" t="str">
        <f t="shared" si="27"/>
        <v/>
      </c>
      <c r="FT29" s="29" t="str">
        <f t="shared" si="27"/>
        <v/>
      </c>
      <c r="FU29" s="29" t="str">
        <f t="shared" si="27"/>
        <v/>
      </c>
      <c r="FV29" s="29" t="str">
        <f t="shared" si="27"/>
        <v/>
      </c>
      <c r="FW29" s="29" t="str">
        <f t="shared" si="27"/>
        <v/>
      </c>
      <c r="FX29" s="29" t="str">
        <f t="shared" si="27"/>
        <v/>
      </c>
      <c r="FY29" s="29" t="str">
        <f t="shared" si="27"/>
        <v/>
      </c>
      <c r="FZ29" s="29" t="str">
        <f t="shared" si="27"/>
        <v/>
      </c>
      <c r="GA29" s="29" t="str">
        <f t="shared" si="27"/>
        <v/>
      </c>
      <c r="GB29" s="29" t="str">
        <f t="shared" si="27"/>
        <v/>
      </c>
      <c r="GC29" s="29" t="str">
        <f t="shared" si="27"/>
        <v/>
      </c>
      <c r="GD29" s="29" t="str">
        <f t="shared" si="27"/>
        <v/>
      </c>
      <c r="GE29" s="29" t="str">
        <f t="shared" si="27"/>
        <v/>
      </c>
      <c r="GF29" s="29" t="str">
        <f t="shared" si="27"/>
        <v/>
      </c>
      <c r="GG29" s="29" t="str">
        <f t="shared" si="27"/>
        <v/>
      </c>
      <c r="GH29" s="29" t="str">
        <f t="shared" si="27"/>
        <v/>
      </c>
      <c r="GI29" s="29" t="str">
        <f t="shared" si="27"/>
        <v/>
      </c>
      <c r="GJ29" s="29" t="str">
        <f t="shared" si="27"/>
        <v/>
      </c>
      <c r="GK29" s="29" t="str">
        <f t="shared" si="27"/>
        <v/>
      </c>
      <c r="GL29" s="29" t="str">
        <f t="shared" si="27"/>
        <v/>
      </c>
      <c r="GM29" s="29" t="str">
        <f t="shared" ref="GM29:IX32" si="28">IFERROR(GM$27*(1+$A29)^-GM$6,"")</f>
        <v/>
      </c>
      <c r="GN29" s="29" t="str">
        <f t="shared" si="28"/>
        <v/>
      </c>
      <c r="GO29" s="29" t="str">
        <f t="shared" si="28"/>
        <v/>
      </c>
      <c r="GP29" s="29" t="str">
        <f t="shared" si="28"/>
        <v/>
      </c>
      <c r="GQ29" s="29" t="str">
        <f t="shared" si="28"/>
        <v/>
      </c>
      <c r="GR29" s="29" t="str">
        <f t="shared" si="28"/>
        <v/>
      </c>
      <c r="GS29" s="29" t="str">
        <f t="shared" si="28"/>
        <v/>
      </c>
      <c r="GT29" s="29" t="str">
        <f t="shared" si="28"/>
        <v/>
      </c>
      <c r="GU29" s="29" t="str">
        <f t="shared" si="28"/>
        <v/>
      </c>
      <c r="GV29" s="29" t="str">
        <f t="shared" si="28"/>
        <v/>
      </c>
      <c r="GW29" s="29" t="str">
        <f t="shared" si="28"/>
        <v/>
      </c>
      <c r="GX29" s="29" t="str">
        <f t="shared" si="28"/>
        <v/>
      </c>
      <c r="GY29" s="29" t="str">
        <f t="shared" si="28"/>
        <v/>
      </c>
      <c r="GZ29" s="29" t="str">
        <f t="shared" si="28"/>
        <v/>
      </c>
      <c r="HA29" s="29" t="str">
        <f t="shared" si="28"/>
        <v/>
      </c>
      <c r="HB29" s="29" t="str">
        <f t="shared" si="28"/>
        <v/>
      </c>
      <c r="HC29" s="29" t="str">
        <f t="shared" si="28"/>
        <v/>
      </c>
      <c r="HD29" s="29" t="str">
        <f t="shared" si="28"/>
        <v/>
      </c>
      <c r="HE29" s="29" t="str">
        <f t="shared" si="28"/>
        <v/>
      </c>
      <c r="HF29" s="29" t="str">
        <f t="shared" si="28"/>
        <v/>
      </c>
      <c r="HG29" s="29" t="str">
        <f t="shared" si="28"/>
        <v/>
      </c>
      <c r="HH29" s="29" t="str">
        <f t="shared" si="28"/>
        <v/>
      </c>
      <c r="HI29" s="29" t="str">
        <f t="shared" si="28"/>
        <v/>
      </c>
      <c r="HJ29" s="29" t="str">
        <f t="shared" si="28"/>
        <v/>
      </c>
      <c r="HK29" s="29" t="str">
        <f t="shared" si="28"/>
        <v/>
      </c>
      <c r="HL29" s="29" t="str">
        <f t="shared" si="28"/>
        <v/>
      </c>
      <c r="HM29" s="29" t="str">
        <f t="shared" si="28"/>
        <v/>
      </c>
      <c r="HN29" s="29" t="str">
        <f t="shared" si="28"/>
        <v/>
      </c>
      <c r="HO29" s="29" t="str">
        <f t="shared" si="28"/>
        <v/>
      </c>
      <c r="HP29" s="29" t="str">
        <f t="shared" si="28"/>
        <v/>
      </c>
      <c r="HQ29" s="29" t="str">
        <f t="shared" si="28"/>
        <v/>
      </c>
      <c r="HR29" s="29" t="str">
        <f t="shared" si="28"/>
        <v/>
      </c>
      <c r="HS29" s="29" t="str">
        <f t="shared" si="28"/>
        <v/>
      </c>
      <c r="HT29" s="29" t="str">
        <f t="shared" si="28"/>
        <v/>
      </c>
      <c r="HU29" s="29" t="str">
        <f t="shared" si="28"/>
        <v/>
      </c>
      <c r="HV29" s="29" t="str">
        <f t="shared" si="28"/>
        <v/>
      </c>
      <c r="HW29" s="29" t="str">
        <f t="shared" si="28"/>
        <v/>
      </c>
      <c r="HX29" s="29" t="str">
        <f t="shared" si="28"/>
        <v/>
      </c>
      <c r="HY29" s="29" t="str">
        <f t="shared" si="28"/>
        <v/>
      </c>
      <c r="HZ29" s="29" t="str">
        <f t="shared" si="28"/>
        <v/>
      </c>
      <c r="IA29" s="29" t="str">
        <f t="shared" si="28"/>
        <v/>
      </c>
      <c r="IB29" s="29" t="str">
        <f t="shared" si="28"/>
        <v/>
      </c>
      <c r="IC29" s="29" t="str">
        <f t="shared" si="28"/>
        <v/>
      </c>
      <c r="ID29" s="29" t="str">
        <f t="shared" si="28"/>
        <v/>
      </c>
      <c r="IE29" s="29" t="str">
        <f t="shared" si="28"/>
        <v/>
      </c>
      <c r="IF29" s="29" t="str">
        <f t="shared" si="28"/>
        <v/>
      </c>
      <c r="IG29" s="29" t="str">
        <f t="shared" si="28"/>
        <v/>
      </c>
      <c r="IH29" s="29" t="str">
        <f t="shared" si="28"/>
        <v/>
      </c>
      <c r="II29" s="29" t="str">
        <f t="shared" si="28"/>
        <v/>
      </c>
      <c r="IJ29" s="29" t="str">
        <f t="shared" si="28"/>
        <v/>
      </c>
      <c r="IK29" s="29" t="str">
        <f t="shared" si="28"/>
        <v/>
      </c>
      <c r="IL29" s="29" t="str">
        <f t="shared" si="28"/>
        <v/>
      </c>
      <c r="IM29" s="29" t="str">
        <f t="shared" si="28"/>
        <v/>
      </c>
      <c r="IN29" s="29" t="str">
        <f t="shared" si="28"/>
        <v/>
      </c>
      <c r="IO29" s="29" t="str">
        <f t="shared" si="28"/>
        <v/>
      </c>
      <c r="IP29" s="29" t="str">
        <f t="shared" si="28"/>
        <v/>
      </c>
      <c r="IQ29" s="29" t="str">
        <f t="shared" si="28"/>
        <v/>
      </c>
      <c r="IR29" s="29" t="str">
        <f t="shared" si="28"/>
        <v/>
      </c>
      <c r="IS29" s="29" t="str">
        <f t="shared" si="28"/>
        <v/>
      </c>
      <c r="IT29" s="29" t="str">
        <f t="shared" si="28"/>
        <v/>
      </c>
      <c r="IU29" s="29" t="str">
        <f t="shared" si="28"/>
        <v/>
      </c>
      <c r="IV29" s="29" t="str">
        <f t="shared" si="28"/>
        <v/>
      </c>
      <c r="IW29" s="29" t="str">
        <f t="shared" si="28"/>
        <v/>
      </c>
      <c r="IX29" s="29" t="str">
        <f t="shared" si="28"/>
        <v/>
      </c>
      <c r="IY29" s="29" t="str">
        <f t="shared" ref="IY29:KP36" si="29">IFERROR(IY$27*(1+$A29)^-IY$6,"")</f>
        <v/>
      </c>
      <c r="IZ29" s="29" t="str">
        <f t="shared" si="29"/>
        <v/>
      </c>
      <c r="JA29" s="29" t="str">
        <f t="shared" si="29"/>
        <v/>
      </c>
      <c r="JB29" s="29" t="str">
        <f t="shared" si="29"/>
        <v/>
      </c>
      <c r="JC29" s="29" t="str">
        <f t="shared" si="29"/>
        <v/>
      </c>
      <c r="JD29" s="29" t="str">
        <f t="shared" si="29"/>
        <v/>
      </c>
      <c r="JE29" s="29" t="str">
        <f t="shared" si="29"/>
        <v/>
      </c>
      <c r="JF29" s="29" t="str">
        <f t="shared" si="29"/>
        <v/>
      </c>
      <c r="JG29" s="29" t="str">
        <f t="shared" si="29"/>
        <v/>
      </c>
      <c r="JH29" s="29" t="str">
        <f t="shared" si="29"/>
        <v/>
      </c>
      <c r="JI29" s="29" t="str">
        <f t="shared" si="29"/>
        <v/>
      </c>
      <c r="JJ29" s="29" t="str">
        <f t="shared" si="29"/>
        <v/>
      </c>
      <c r="JK29" s="29" t="str">
        <f t="shared" si="29"/>
        <v/>
      </c>
      <c r="JL29" s="29" t="str">
        <f t="shared" si="29"/>
        <v/>
      </c>
      <c r="JM29" s="29" t="str">
        <f t="shared" si="29"/>
        <v/>
      </c>
      <c r="JN29" s="29" t="str">
        <f t="shared" si="29"/>
        <v/>
      </c>
      <c r="JO29" s="29" t="str">
        <f t="shared" si="29"/>
        <v/>
      </c>
      <c r="JP29" s="29" t="str">
        <f t="shared" si="29"/>
        <v/>
      </c>
      <c r="JQ29" s="29" t="str">
        <f t="shared" si="29"/>
        <v/>
      </c>
      <c r="JR29" s="29" t="str">
        <f t="shared" si="29"/>
        <v/>
      </c>
      <c r="JS29" s="29" t="str">
        <f t="shared" si="29"/>
        <v/>
      </c>
      <c r="JT29" s="29" t="str">
        <f t="shared" si="29"/>
        <v/>
      </c>
      <c r="JU29" s="29" t="str">
        <f t="shared" si="29"/>
        <v/>
      </c>
      <c r="JV29" s="29" t="str">
        <f t="shared" si="29"/>
        <v/>
      </c>
      <c r="JW29" s="29" t="str">
        <f t="shared" si="29"/>
        <v/>
      </c>
      <c r="JX29" s="29" t="str">
        <f t="shared" si="29"/>
        <v/>
      </c>
      <c r="JY29" s="29" t="str">
        <f t="shared" si="29"/>
        <v/>
      </c>
      <c r="JZ29" s="29" t="str">
        <f t="shared" si="29"/>
        <v/>
      </c>
      <c r="KA29" s="29" t="str">
        <f t="shared" si="29"/>
        <v/>
      </c>
      <c r="KB29" s="29" t="str">
        <f t="shared" si="29"/>
        <v/>
      </c>
      <c r="KC29" s="29" t="str">
        <f t="shared" si="29"/>
        <v/>
      </c>
      <c r="KD29" s="29" t="str">
        <f t="shared" si="29"/>
        <v/>
      </c>
      <c r="KE29" s="29" t="str">
        <f t="shared" si="29"/>
        <v/>
      </c>
      <c r="KF29" s="29" t="str">
        <f t="shared" si="29"/>
        <v/>
      </c>
      <c r="KG29" s="29" t="str">
        <f t="shared" si="29"/>
        <v/>
      </c>
      <c r="KH29" s="29" t="str">
        <f t="shared" si="29"/>
        <v/>
      </c>
      <c r="KI29" s="29" t="str">
        <f t="shared" si="29"/>
        <v/>
      </c>
      <c r="KJ29" s="29" t="str">
        <f t="shared" si="29"/>
        <v/>
      </c>
      <c r="KK29" s="29" t="str">
        <f t="shared" si="29"/>
        <v/>
      </c>
      <c r="KL29" s="29" t="str">
        <f t="shared" si="29"/>
        <v/>
      </c>
      <c r="KM29" s="29" t="str">
        <f t="shared" si="29"/>
        <v/>
      </c>
      <c r="KN29" s="29" t="str">
        <f t="shared" si="29"/>
        <v/>
      </c>
      <c r="KO29" s="29" t="str">
        <f t="shared" si="29"/>
        <v/>
      </c>
      <c r="KP29" s="29" t="str">
        <f t="shared" si="29"/>
        <v/>
      </c>
    </row>
    <row r="30" spans="1:302" customFormat="1" hidden="1" outlineLevel="1" x14ac:dyDescent="0.2">
      <c r="A30" s="33">
        <f t="shared" si="24"/>
        <v>-0.02</v>
      </c>
      <c r="B30" s="29" t="str">
        <f t="shared" ref="B30:Q43" si="30">IFERROR(B$27*(1+$A30)^-B$6,"")</f>
        <v/>
      </c>
      <c r="C30" s="29" t="str">
        <f t="shared" si="30"/>
        <v/>
      </c>
      <c r="D30" s="29" t="str">
        <f t="shared" si="30"/>
        <v/>
      </c>
      <c r="E30" s="29" t="str">
        <f t="shared" si="30"/>
        <v/>
      </c>
      <c r="F30" s="29" t="str">
        <f t="shared" si="30"/>
        <v/>
      </c>
      <c r="G30" s="29" t="str">
        <f t="shared" si="30"/>
        <v/>
      </c>
      <c r="H30" s="29" t="str">
        <f t="shared" si="30"/>
        <v/>
      </c>
      <c r="I30" s="29" t="str">
        <f t="shared" si="30"/>
        <v/>
      </c>
      <c r="J30" s="29" t="str">
        <f t="shared" si="30"/>
        <v/>
      </c>
      <c r="K30" s="29" t="str">
        <f t="shared" si="30"/>
        <v/>
      </c>
      <c r="L30" s="29" t="str">
        <f t="shared" si="30"/>
        <v/>
      </c>
      <c r="M30" s="29" t="str">
        <f t="shared" si="30"/>
        <v/>
      </c>
      <c r="N30" s="29" t="str">
        <f t="shared" si="30"/>
        <v/>
      </c>
      <c r="O30" s="29" t="str">
        <f t="shared" si="30"/>
        <v/>
      </c>
      <c r="P30" s="29" t="str">
        <f t="shared" si="30"/>
        <v/>
      </c>
      <c r="Q30" s="29" t="str">
        <f t="shared" si="30"/>
        <v/>
      </c>
      <c r="R30" s="29" t="str">
        <f t="shared" si="25"/>
        <v/>
      </c>
      <c r="S30" s="29" t="str">
        <f t="shared" si="25"/>
        <v/>
      </c>
      <c r="T30" s="29" t="str">
        <f t="shared" si="25"/>
        <v/>
      </c>
      <c r="U30" s="29" t="str">
        <f t="shared" si="25"/>
        <v/>
      </c>
      <c r="V30" s="29" t="str">
        <f t="shared" si="25"/>
        <v/>
      </c>
      <c r="W30" s="29" t="str">
        <f t="shared" si="25"/>
        <v/>
      </c>
      <c r="X30" s="29" t="str">
        <f t="shared" si="25"/>
        <v/>
      </c>
      <c r="Y30" s="29" t="str">
        <f t="shared" si="25"/>
        <v/>
      </c>
      <c r="Z30" s="29" t="str">
        <f t="shared" si="25"/>
        <v/>
      </c>
      <c r="AA30" s="29" t="str">
        <f t="shared" si="25"/>
        <v/>
      </c>
      <c r="AB30" s="29" t="str">
        <f t="shared" si="25"/>
        <v/>
      </c>
      <c r="AC30" s="29" t="str">
        <f t="shared" si="25"/>
        <v/>
      </c>
      <c r="AD30" s="29" t="str">
        <f t="shared" si="25"/>
        <v/>
      </c>
      <c r="AE30" s="29" t="str">
        <f t="shared" si="25"/>
        <v/>
      </c>
      <c r="AF30" s="29" t="str">
        <f t="shared" si="25"/>
        <v/>
      </c>
      <c r="AG30" s="29" t="str">
        <f t="shared" si="25"/>
        <v/>
      </c>
      <c r="AH30" s="29" t="str">
        <f t="shared" si="25"/>
        <v/>
      </c>
      <c r="AI30" s="29" t="str">
        <f t="shared" si="25"/>
        <v/>
      </c>
      <c r="AJ30" s="29" t="str">
        <f t="shared" si="25"/>
        <v/>
      </c>
      <c r="AK30" s="29" t="str">
        <f t="shared" si="25"/>
        <v/>
      </c>
      <c r="AL30" s="29" t="str">
        <f t="shared" si="25"/>
        <v/>
      </c>
      <c r="AM30" s="29" t="str">
        <f t="shared" si="25"/>
        <v/>
      </c>
      <c r="AN30" s="29" t="str">
        <f t="shared" si="25"/>
        <v/>
      </c>
      <c r="AO30" s="29" t="str">
        <f t="shared" si="25"/>
        <v/>
      </c>
      <c r="AP30" s="29" t="str">
        <f t="shared" si="25"/>
        <v/>
      </c>
      <c r="AQ30" s="29" t="str">
        <f t="shared" si="25"/>
        <v/>
      </c>
      <c r="AR30" s="29" t="str">
        <f t="shared" si="25"/>
        <v/>
      </c>
      <c r="AS30" s="29" t="str">
        <f t="shared" si="25"/>
        <v/>
      </c>
      <c r="AT30" s="29" t="str">
        <f t="shared" si="25"/>
        <v/>
      </c>
      <c r="AU30" s="29" t="str">
        <f t="shared" si="25"/>
        <v/>
      </c>
      <c r="AV30" s="29" t="str">
        <f t="shared" si="25"/>
        <v/>
      </c>
      <c r="AW30" s="29" t="str">
        <f t="shared" si="25"/>
        <v/>
      </c>
      <c r="AX30" s="29" t="str">
        <f t="shared" si="25"/>
        <v/>
      </c>
      <c r="AY30" s="29" t="str">
        <f t="shared" si="25"/>
        <v/>
      </c>
      <c r="AZ30" s="29" t="str">
        <f t="shared" si="25"/>
        <v/>
      </c>
      <c r="BA30" s="29" t="str">
        <f t="shared" si="25"/>
        <v/>
      </c>
      <c r="BB30" s="29" t="str">
        <f t="shared" si="25"/>
        <v/>
      </c>
      <c r="BC30" s="29" t="str">
        <f t="shared" si="25"/>
        <v/>
      </c>
      <c r="BD30" s="29" t="str">
        <f t="shared" si="25"/>
        <v/>
      </c>
      <c r="BE30" s="29" t="str">
        <f t="shared" si="25"/>
        <v/>
      </c>
      <c r="BF30" s="29" t="str">
        <f t="shared" si="25"/>
        <v/>
      </c>
      <c r="BG30" s="29" t="str">
        <f t="shared" si="25"/>
        <v/>
      </c>
      <c r="BH30" s="29" t="str">
        <f t="shared" si="25"/>
        <v/>
      </c>
      <c r="BI30" s="29" t="str">
        <f t="shared" si="25"/>
        <v/>
      </c>
      <c r="BJ30" s="29" t="str">
        <f t="shared" si="25"/>
        <v/>
      </c>
      <c r="BK30" s="29" t="str">
        <f t="shared" si="25"/>
        <v/>
      </c>
      <c r="BL30" s="29" t="str">
        <f t="shared" si="25"/>
        <v/>
      </c>
      <c r="BM30" s="29" t="str">
        <f t="shared" si="25"/>
        <v/>
      </c>
      <c r="BN30" s="29" t="str">
        <f t="shared" si="25"/>
        <v/>
      </c>
      <c r="BO30" s="29" t="str">
        <f t="shared" si="26"/>
        <v/>
      </c>
      <c r="BP30" s="29" t="str">
        <f t="shared" si="26"/>
        <v/>
      </c>
      <c r="BQ30" s="29" t="str">
        <f t="shared" si="26"/>
        <v/>
      </c>
      <c r="BR30" s="29" t="str">
        <f t="shared" si="26"/>
        <v/>
      </c>
      <c r="BS30" s="29" t="str">
        <f t="shared" si="26"/>
        <v/>
      </c>
      <c r="BT30" s="29" t="str">
        <f t="shared" si="26"/>
        <v/>
      </c>
      <c r="BU30" s="29" t="str">
        <f t="shared" si="26"/>
        <v/>
      </c>
      <c r="BV30" s="29" t="str">
        <f t="shared" si="26"/>
        <v/>
      </c>
      <c r="BW30" s="29" t="str">
        <f t="shared" si="26"/>
        <v/>
      </c>
      <c r="BX30" s="29" t="str">
        <f t="shared" si="26"/>
        <v/>
      </c>
      <c r="BY30" s="29" t="str">
        <f t="shared" si="26"/>
        <v/>
      </c>
      <c r="BZ30" s="29" t="str">
        <f t="shared" si="26"/>
        <v/>
      </c>
      <c r="CA30" s="29" t="str">
        <f t="shared" si="26"/>
        <v/>
      </c>
      <c r="CB30" s="29" t="str">
        <f t="shared" si="26"/>
        <v/>
      </c>
      <c r="CC30" s="29" t="str">
        <f t="shared" si="26"/>
        <v/>
      </c>
      <c r="CD30" s="29" t="str">
        <f t="shared" si="26"/>
        <v/>
      </c>
      <c r="CE30" s="29" t="str">
        <f t="shared" si="26"/>
        <v/>
      </c>
      <c r="CF30" s="29" t="str">
        <f t="shared" si="26"/>
        <v/>
      </c>
      <c r="CG30" s="29" t="str">
        <f t="shared" si="26"/>
        <v/>
      </c>
      <c r="CH30" s="29" t="str">
        <f t="shared" si="26"/>
        <v/>
      </c>
      <c r="CI30" s="29" t="str">
        <f t="shared" si="26"/>
        <v/>
      </c>
      <c r="CJ30" s="29" t="str">
        <f t="shared" si="26"/>
        <v/>
      </c>
      <c r="CK30" s="29" t="str">
        <f t="shared" si="26"/>
        <v/>
      </c>
      <c r="CL30" s="29" t="str">
        <f t="shared" si="26"/>
        <v/>
      </c>
      <c r="CM30" s="29" t="str">
        <f t="shared" si="26"/>
        <v/>
      </c>
      <c r="CN30" s="29" t="str">
        <f t="shared" si="26"/>
        <v/>
      </c>
      <c r="CO30" s="29" t="str">
        <f t="shared" si="26"/>
        <v/>
      </c>
      <c r="CP30" s="29" t="str">
        <f t="shared" si="26"/>
        <v/>
      </c>
      <c r="CQ30" s="29" t="str">
        <f t="shared" si="26"/>
        <v/>
      </c>
      <c r="CR30" s="29" t="str">
        <f t="shared" si="26"/>
        <v/>
      </c>
      <c r="CS30" s="29" t="str">
        <f t="shared" si="26"/>
        <v/>
      </c>
      <c r="CT30" s="29" t="str">
        <f t="shared" si="26"/>
        <v/>
      </c>
      <c r="CU30" s="29" t="str">
        <f t="shared" si="26"/>
        <v/>
      </c>
      <c r="CV30" s="29" t="str">
        <f t="shared" si="26"/>
        <v/>
      </c>
      <c r="CW30" s="29" t="str">
        <f t="shared" si="26"/>
        <v/>
      </c>
      <c r="CX30" s="29" t="str">
        <f t="shared" si="26"/>
        <v/>
      </c>
      <c r="CY30" s="29" t="str">
        <f t="shared" si="26"/>
        <v/>
      </c>
      <c r="CZ30" s="29" t="str">
        <f t="shared" si="26"/>
        <v/>
      </c>
      <c r="DA30" s="29" t="str">
        <f t="shared" si="26"/>
        <v/>
      </c>
      <c r="DB30" s="29" t="str">
        <f t="shared" si="26"/>
        <v/>
      </c>
      <c r="DC30" s="29" t="str">
        <f t="shared" si="26"/>
        <v/>
      </c>
      <c r="DD30" s="29" t="str">
        <f t="shared" si="26"/>
        <v/>
      </c>
      <c r="DE30" s="29" t="str">
        <f t="shared" si="26"/>
        <v/>
      </c>
      <c r="DF30" s="29" t="str">
        <f t="shared" si="26"/>
        <v/>
      </c>
      <c r="DG30" s="29" t="str">
        <f t="shared" si="26"/>
        <v/>
      </c>
      <c r="DH30" s="29" t="str">
        <f t="shared" si="26"/>
        <v/>
      </c>
      <c r="DI30" s="29" t="str">
        <f t="shared" si="26"/>
        <v/>
      </c>
      <c r="DJ30" s="29" t="str">
        <f t="shared" si="26"/>
        <v/>
      </c>
      <c r="DK30" s="29" t="str">
        <f t="shared" si="26"/>
        <v/>
      </c>
      <c r="DL30" s="29" t="str">
        <f t="shared" si="26"/>
        <v/>
      </c>
      <c r="DM30" s="29" t="str">
        <f t="shared" si="26"/>
        <v/>
      </c>
      <c r="DN30" s="29" t="str">
        <f t="shared" si="26"/>
        <v/>
      </c>
      <c r="DO30" s="29" t="str">
        <f t="shared" si="26"/>
        <v/>
      </c>
      <c r="DP30" s="29" t="str">
        <f t="shared" si="26"/>
        <v/>
      </c>
      <c r="DQ30" s="29" t="str">
        <f t="shared" si="26"/>
        <v/>
      </c>
      <c r="DR30" s="29" t="str">
        <f t="shared" si="26"/>
        <v/>
      </c>
      <c r="DS30" s="29" t="str">
        <f t="shared" si="26"/>
        <v/>
      </c>
      <c r="DT30" s="29" t="str">
        <f t="shared" si="26"/>
        <v/>
      </c>
      <c r="DU30" s="29" t="str">
        <f t="shared" si="26"/>
        <v/>
      </c>
      <c r="DV30" s="29" t="str">
        <f t="shared" si="26"/>
        <v/>
      </c>
      <c r="DW30" s="29" t="str">
        <f t="shared" si="26"/>
        <v/>
      </c>
      <c r="DX30" s="29" t="str">
        <f t="shared" si="26"/>
        <v/>
      </c>
      <c r="DY30" s="29" t="str">
        <f t="shared" si="26"/>
        <v/>
      </c>
      <c r="DZ30" s="29" t="str">
        <f t="shared" si="26"/>
        <v/>
      </c>
      <c r="EA30" s="29" t="str">
        <f t="shared" si="27"/>
        <v/>
      </c>
      <c r="EB30" s="29" t="str">
        <f t="shared" si="27"/>
        <v/>
      </c>
      <c r="EC30" s="29" t="str">
        <f t="shared" si="27"/>
        <v/>
      </c>
      <c r="ED30" s="29" t="str">
        <f t="shared" si="27"/>
        <v/>
      </c>
      <c r="EE30" s="29" t="str">
        <f t="shared" si="27"/>
        <v/>
      </c>
      <c r="EF30" s="29" t="str">
        <f t="shared" si="27"/>
        <v/>
      </c>
      <c r="EG30" s="29" t="str">
        <f t="shared" si="27"/>
        <v/>
      </c>
      <c r="EH30" s="29" t="str">
        <f t="shared" si="27"/>
        <v/>
      </c>
      <c r="EI30" s="29" t="str">
        <f t="shared" si="27"/>
        <v/>
      </c>
      <c r="EJ30" s="29" t="str">
        <f t="shared" si="27"/>
        <v/>
      </c>
      <c r="EK30" s="29" t="str">
        <f t="shared" si="27"/>
        <v/>
      </c>
      <c r="EL30" s="29" t="str">
        <f t="shared" si="27"/>
        <v/>
      </c>
      <c r="EM30" s="29" t="str">
        <f t="shared" si="27"/>
        <v/>
      </c>
      <c r="EN30" s="29" t="str">
        <f t="shared" si="27"/>
        <v/>
      </c>
      <c r="EO30" s="29" t="str">
        <f t="shared" si="27"/>
        <v/>
      </c>
      <c r="EP30" s="29" t="str">
        <f t="shared" si="27"/>
        <v/>
      </c>
      <c r="EQ30" s="29" t="str">
        <f t="shared" si="27"/>
        <v/>
      </c>
      <c r="ER30" s="29" t="str">
        <f t="shared" si="27"/>
        <v/>
      </c>
      <c r="ES30" s="29" t="str">
        <f t="shared" si="27"/>
        <v/>
      </c>
      <c r="ET30" s="29" t="str">
        <f t="shared" si="27"/>
        <v/>
      </c>
      <c r="EU30" s="29" t="str">
        <f t="shared" si="27"/>
        <v/>
      </c>
      <c r="EV30" s="29" t="str">
        <f t="shared" si="27"/>
        <v/>
      </c>
      <c r="EW30" s="29" t="str">
        <f t="shared" si="27"/>
        <v/>
      </c>
      <c r="EX30" s="29" t="str">
        <f t="shared" si="27"/>
        <v/>
      </c>
      <c r="EY30" s="29" t="str">
        <f t="shared" si="27"/>
        <v/>
      </c>
      <c r="EZ30" s="29" t="str">
        <f t="shared" si="27"/>
        <v/>
      </c>
      <c r="FA30" s="29" t="str">
        <f t="shared" si="27"/>
        <v/>
      </c>
      <c r="FB30" s="29" t="str">
        <f t="shared" si="27"/>
        <v/>
      </c>
      <c r="FC30" s="29" t="str">
        <f t="shared" si="27"/>
        <v/>
      </c>
      <c r="FD30" s="29" t="str">
        <f t="shared" si="27"/>
        <v/>
      </c>
      <c r="FE30" s="29" t="str">
        <f t="shared" si="27"/>
        <v/>
      </c>
      <c r="FF30" s="29" t="str">
        <f t="shared" si="27"/>
        <v/>
      </c>
      <c r="FG30" s="29" t="str">
        <f t="shared" si="27"/>
        <v/>
      </c>
      <c r="FH30" s="29" t="str">
        <f t="shared" si="27"/>
        <v/>
      </c>
      <c r="FI30" s="29" t="str">
        <f t="shared" si="27"/>
        <v/>
      </c>
      <c r="FJ30" s="29" t="str">
        <f t="shared" si="27"/>
        <v/>
      </c>
      <c r="FK30" s="29" t="str">
        <f t="shared" si="27"/>
        <v/>
      </c>
      <c r="FL30" s="29" t="str">
        <f t="shared" si="27"/>
        <v/>
      </c>
      <c r="FM30" s="29" t="str">
        <f t="shared" si="27"/>
        <v/>
      </c>
      <c r="FN30" s="29" t="str">
        <f t="shared" si="27"/>
        <v/>
      </c>
      <c r="FO30" s="29" t="str">
        <f t="shared" si="27"/>
        <v/>
      </c>
      <c r="FP30" s="29" t="str">
        <f t="shared" si="27"/>
        <v/>
      </c>
      <c r="FQ30" s="29" t="str">
        <f t="shared" si="27"/>
        <v/>
      </c>
      <c r="FR30" s="29" t="str">
        <f t="shared" si="27"/>
        <v/>
      </c>
      <c r="FS30" s="29" t="str">
        <f t="shared" si="27"/>
        <v/>
      </c>
      <c r="FT30" s="29" t="str">
        <f t="shared" si="27"/>
        <v/>
      </c>
      <c r="FU30" s="29" t="str">
        <f t="shared" si="27"/>
        <v/>
      </c>
      <c r="FV30" s="29" t="str">
        <f t="shared" si="27"/>
        <v/>
      </c>
      <c r="FW30" s="29" t="str">
        <f t="shared" si="27"/>
        <v/>
      </c>
      <c r="FX30" s="29" t="str">
        <f t="shared" si="27"/>
        <v/>
      </c>
      <c r="FY30" s="29" t="str">
        <f t="shared" si="27"/>
        <v/>
      </c>
      <c r="FZ30" s="29" t="str">
        <f t="shared" si="27"/>
        <v/>
      </c>
      <c r="GA30" s="29" t="str">
        <f t="shared" si="27"/>
        <v/>
      </c>
      <c r="GB30" s="29" t="str">
        <f t="shared" si="27"/>
        <v/>
      </c>
      <c r="GC30" s="29" t="str">
        <f t="shared" si="27"/>
        <v/>
      </c>
      <c r="GD30" s="29" t="str">
        <f t="shared" si="27"/>
        <v/>
      </c>
      <c r="GE30" s="29" t="str">
        <f t="shared" si="27"/>
        <v/>
      </c>
      <c r="GF30" s="29" t="str">
        <f t="shared" si="27"/>
        <v/>
      </c>
      <c r="GG30" s="29" t="str">
        <f t="shared" si="27"/>
        <v/>
      </c>
      <c r="GH30" s="29" t="str">
        <f t="shared" si="27"/>
        <v/>
      </c>
      <c r="GI30" s="29" t="str">
        <f t="shared" si="27"/>
        <v/>
      </c>
      <c r="GJ30" s="29" t="str">
        <f t="shared" si="27"/>
        <v/>
      </c>
      <c r="GK30" s="29" t="str">
        <f t="shared" si="27"/>
        <v/>
      </c>
      <c r="GL30" s="29" t="str">
        <f t="shared" si="27"/>
        <v/>
      </c>
      <c r="GM30" s="29" t="str">
        <f t="shared" si="28"/>
        <v/>
      </c>
      <c r="GN30" s="29" t="str">
        <f t="shared" si="28"/>
        <v/>
      </c>
      <c r="GO30" s="29" t="str">
        <f t="shared" si="28"/>
        <v/>
      </c>
      <c r="GP30" s="29" t="str">
        <f t="shared" si="28"/>
        <v/>
      </c>
      <c r="GQ30" s="29" t="str">
        <f t="shared" si="28"/>
        <v/>
      </c>
      <c r="GR30" s="29" t="str">
        <f t="shared" si="28"/>
        <v/>
      </c>
      <c r="GS30" s="29" t="str">
        <f t="shared" si="28"/>
        <v/>
      </c>
      <c r="GT30" s="29" t="str">
        <f t="shared" si="28"/>
        <v/>
      </c>
      <c r="GU30" s="29" t="str">
        <f t="shared" si="28"/>
        <v/>
      </c>
      <c r="GV30" s="29" t="str">
        <f t="shared" si="28"/>
        <v/>
      </c>
      <c r="GW30" s="29" t="str">
        <f t="shared" si="28"/>
        <v/>
      </c>
      <c r="GX30" s="29" t="str">
        <f t="shared" si="28"/>
        <v/>
      </c>
      <c r="GY30" s="29" t="str">
        <f t="shared" si="28"/>
        <v/>
      </c>
      <c r="GZ30" s="29" t="str">
        <f t="shared" si="28"/>
        <v/>
      </c>
      <c r="HA30" s="29" t="str">
        <f t="shared" si="28"/>
        <v/>
      </c>
      <c r="HB30" s="29" t="str">
        <f t="shared" si="28"/>
        <v/>
      </c>
      <c r="HC30" s="29" t="str">
        <f t="shared" si="28"/>
        <v/>
      </c>
      <c r="HD30" s="29" t="str">
        <f t="shared" si="28"/>
        <v/>
      </c>
      <c r="HE30" s="29" t="str">
        <f t="shared" si="28"/>
        <v/>
      </c>
      <c r="HF30" s="29" t="str">
        <f t="shared" si="28"/>
        <v/>
      </c>
      <c r="HG30" s="29" t="str">
        <f t="shared" si="28"/>
        <v/>
      </c>
      <c r="HH30" s="29" t="str">
        <f t="shared" si="28"/>
        <v/>
      </c>
      <c r="HI30" s="29" t="str">
        <f t="shared" si="28"/>
        <v/>
      </c>
      <c r="HJ30" s="29" t="str">
        <f t="shared" si="28"/>
        <v/>
      </c>
      <c r="HK30" s="29" t="str">
        <f t="shared" si="28"/>
        <v/>
      </c>
      <c r="HL30" s="29" t="str">
        <f t="shared" si="28"/>
        <v/>
      </c>
      <c r="HM30" s="29" t="str">
        <f t="shared" si="28"/>
        <v/>
      </c>
      <c r="HN30" s="29" t="str">
        <f t="shared" si="28"/>
        <v/>
      </c>
      <c r="HO30" s="29" t="str">
        <f t="shared" si="28"/>
        <v/>
      </c>
      <c r="HP30" s="29" t="str">
        <f t="shared" si="28"/>
        <v/>
      </c>
      <c r="HQ30" s="29" t="str">
        <f t="shared" si="28"/>
        <v/>
      </c>
      <c r="HR30" s="29" t="str">
        <f t="shared" si="28"/>
        <v/>
      </c>
      <c r="HS30" s="29" t="str">
        <f t="shared" si="28"/>
        <v/>
      </c>
      <c r="HT30" s="29" t="str">
        <f t="shared" si="28"/>
        <v/>
      </c>
      <c r="HU30" s="29" t="str">
        <f t="shared" si="28"/>
        <v/>
      </c>
      <c r="HV30" s="29" t="str">
        <f t="shared" si="28"/>
        <v/>
      </c>
      <c r="HW30" s="29" t="str">
        <f t="shared" si="28"/>
        <v/>
      </c>
      <c r="HX30" s="29" t="str">
        <f t="shared" si="28"/>
        <v/>
      </c>
      <c r="HY30" s="29" t="str">
        <f t="shared" si="28"/>
        <v/>
      </c>
      <c r="HZ30" s="29" t="str">
        <f t="shared" si="28"/>
        <v/>
      </c>
      <c r="IA30" s="29" t="str">
        <f t="shared" si="28"/>
        <v/>
      </c>
      <c r="IB30" s="29" t="str">
        <f t="shared" si="28"/>
        <v/>
      </c>
      <c r="IC30" s="29" t="str">
        <f t="shared" si="28"/>
        <v/>
      </c>
      <c r="ID30" s="29" t="str">
        <f t="shared" si="28"/>
        <v/>
      </c>
      <c r="IE30" s="29" t="str">
        <f t="shared" si="28"/>
        <v/>
      </c>
      <c r="IF30" s="29" t="str">
        <f t="shared" si="28"/>
        <v/>
      </c>
      <c r="IG30" s="29" t="str">
        <f t="shared" si="28"/>
        <v/>
      </c>
      <c r="IH30" s="29" t="str">
        <f t="shared" si="28"/>
        <v/>
      </c>
      <c r="II30" s="29" t="str">
        <f t="shared" si="28"/>
        <v/>
      </c>
      <c r="IJ30" s="29" t="str">
        <f t="shared" si="28"/>
        <v/>
      </c>
      <c r="IK30" s="29" t="str">
        <f t="shared" si="28"/>
        <v/>
      </c>
      <c r="IL30" s="29" t="str">
        <f t="shared" si="28"/>
        <v/>
      </c>
      <c r="IM30" s="29" t="str">
        <f t="shared" si="28"/>
        <v/>
      </c>
      <c r="IN30" s="29" t="str">
        <f t="shared" si="28"/>
        <v/>
      </c>
      <c r="IO30" s="29" t="str">
        <f t="shared" si="28"/>
        <v/>
      </c>
      <c r="IP30" s="29" t="str">
        <f t="shared" si="28"/>
        <v/>
      </c>
      <c r="IQ30" s="29" t="str">
        <f t="shared" si="28"/>
        <v/>
      </c>
      <c r="IR30" s="29" t="str">
        <f t="shared" si="28"/>
        <v/>
      </c>
      <c r="IS30" s="29" t="str">
        <f t="shared" si="28"/>
        <v/>
      </c>
      <c r="IT30" s="29" t="str">
        <f t="shared" si="28"/>
        <v/>
      </c>
      <c r="IU30" s="29" t="str">
        <f t="shared" si="28"/>
        <v/>
      </c>
      <c r="IV30" s="29" t="str">
        <f t="shared" si="28"/>
        <v/>
      </c>
      <c r="IW30" s="29" t="str">
        <f t="shared" si="28"/>
        <v/>
      </c>
      <c r="IX30" s="29" t="str">
        <f t="shared" si="28"/>
        <v/>
      </c>
      <c r="IY30" s="29" t="str">
        <f t="shared" si="29"/>
        <v/>
      </c>
      <c r="IZ30" s="29" t="str">
        <f t="shared" si="29"/>
        <v/>
      </c>
      <c r="JA30" s="29" t="str">
        <f t="shared" si="29"/>
        <v/>
      </c>
      <c r="JB30" s="29" t="str">
        <f t="shared" si="29"/>
        <v/>
      </c>
      <c r="JC30" s="29" t="str">
        <f t="shared" si="29"/>
        <v/>
      </c>
      <c r="JD30" s="29" t="str">
        <f t="shared" si="29"/>
        <v/>
      </c>
      <c r="JE30" s="29" t="str">
        <f t="shared" si="29"/>
        <v/>
      </c>
      <c r="JF30" s="29" t="str">
        <f t="shared" si="29"/>
        <v/>
      </c>
      <c r="JG30" s="29" t="str">
        <f t="shared" si="29"/>
        <v/>
      </c>
      <c r="JH30" s="29" t="str">
        <f t="shared" si="29"/>
        <v/>
      </c>
      <c r="JI30" s="29" t="str">
        <f t="shared" si="29"/>
        <v/>
      </c>
      <c r="JJ30" s="29" t="str">
        <f t="shared" si="29"/>
        <v/>
      </c>
      <c r="JK30" s="29" t="str">
        <f t="shared" si="29"/>
        <v/>
      </c>
      <c r="JL30" s="29" t="str">
        <f t="shared" si="29"/>
        <v/>
      </c>
      <c r="JM30" s="29" t="str">
        <f t="shared" si="29"/>
        <v/>
      </c>
      <c r="JN30" s="29" t="str">
        <f t="shared" si="29"/>
        <v/>
      </c>
      <c r="JO30" s="29" t="str">
        <f t="shared" si="29"/>
        <v/>
      </c>
      <c r="JP30" s="29" t="str">
        <f t="shared" si="29"/>
        <v/>
      </c>
      <c r="JQ30" s="29" t="str">
        <f t="shared" si="29"/>
        <v/>
      </c>
      <c r="JR30" s="29" t="str">
        <f t="shared" si="29"/>
        <v/>
      </c>
      <c r="JS30" s="29" t="str">
        <f t="shared" si="29"/>
        <v/>
      </c>
      <c r="JT30" s="29" t="str">
        <f t="shared" si="29"/>
        <v/>
      </c>
      <c r="JU30" s="29" t="str">
        <f t="shared" si="29"/>
        <v/>
      </c>
      <c r="JV30" s="29" t="str">
        <f t="shared" si="29"/>
        <v/>
      </c>
      <c r="JW30" s="29" t="str">
        <f t="shared" si="29"/>
        <v/>
      </c>
      <c r="JX30" s="29" t="str">
        <f t="shared" si="29"/>
        <v/>
      </c>
      <c r="JY30" s="29" t="str">
        <f t="shared" si="29"/>
        <v/>
      </c>
      <c r="JZ30" s="29" t="str">
        <f t="shared" si="29"/>
        <v/>
      </c>
      <c r="KA30" s="29" t="str">
        <f t="shared" si="29"/>
        <v/>
      </c>
      <c r="KB30" s="29" t="str">
        <f t="shared" si="29"/>
        <v/>
      </c>
      <c r="KC30" s="29" t="str">
        <f t="shared" si="29"/>
        <v/>
      </c>
      <c r="KD30" s="29" t="str">
        <f t="shared" si="29"/>
        <v/>
      </c>
      <c r="KE30" s="29" t="str">
        <f t="shared" si="29"/>
        <v/>
      </c>
      <c r="KF30" s="29" t="str">
        <f t="shared" si="29"/>
        <v/>
      </c>
      <c r="KG30" s="29" t="str">
        <f t="shared" si="29"/>
        <v/>
      </c>
      <c r="KH30" s="29" t="str">
        <f t="shared" si="29"/>
        <v/>
      </c>
      <c r="KI30" s="29" t="str">
        <f t="shared" si="29"/>
        <v/>
      </c>
      <c r="KJ30" s="29" t="str">
        <f t="shared" si="29"/>
        <v/>
      </c>
      <c r="KK30" s="29" t="str">
        <f t="shared" si="29"/>
        <v/>
      </c>
      <c r="KL30" s="29" t="str">
        <f t="shared" si="29"/>
        <v/>
      </c>
      <c r="KM30" s="29" t="str">
        <f t="shared" si="29"/>
        <v/>
      </c>
      <c r="KN30" s="29" t="str">
        <f t="shared" si="29"/>
        <v/>
      </c>
      <c r="KO30" s="29" t="str">
        <f t="shared" si="29"/>
        <v/>
      </c>
      <c r="KP30" s="29" t="str">
        <f t="shared" si="29"/>
        <v/>
      </c>
    </row>
    <row r="31" spans="1:302" customFormat="1" hidden="1" outlineLevel="1" x14ac:dyDescent="0.2">
      <c r="A31" s="33">
        <f t="shared" si="24"/>
        <v>-1.4999999999999999E-2</v>
      </c>
      <c r="B31" s="29" t="str">
        <f t="shared" si="30"/>
        <v/>
      </c>
      <c r="C31" s="29" t="str">
        <f t="shared" ref="C31:BN34" si="31">IFERROR(C$27*(1+$A31)^-C$6,"")</f>
        <v/>
      </c>
      <c r="D31" s="29" t="str">
        <f t="shared" si="31"/>
        <v/>
      </c>
      <c r="E31" s="29" t="str">
        <f t="shared" si="31"/>
        <v/>
      </c>
      <c r="F31" s="29" t="str">
        <f t="shared" si="31"/>
        <v/>
      </c>
      <c r="G31" s="29" t="str">
        <f t="shared" si="31"/>
        <v/>
      </c>
      <c r="H31" s="29" t="str">
        <f t="shared" si="31"/>
        <v/>
      </c>
      <c r="I31" s="29" t="str">
        <f t="shared" si="31"/>
        <v/>
      </c>
      <c r="J31" s="29" t="str">
        <f t="shared" si="31"/>
        <v/>
      </c>
      <c r="K31" s="29" t="str">
        <f t="shared" si="31"/>
        <v/>
      </c>
      <c r="L31" s="29" t="str">
        <f t="shared" si="31"/>
        <v/>
      </c>
      <c r="M31" s="29" t="str">
        <f t="shared" si="31"/>
        <v/>
      </c>
      <c r="N31" s="29" t="str">
        <f t="shared" si="31"/>
        <v/>
      </c>
      <c r="O31" s="29" t="str">
        <f t="shared" si="31"/>
        <v/>
      </c>
      <c r="P31" s="29" t="str">
        <f t="shared" si="31"/>
        <v/>
      </c>
      <c r="Q31" s="29" t="str">
        <f t="shared" si="31"/>
        <v/>
      </c>
      <c r="R31" s="29" t="str">
        <f t="shared" si="31"/>
        <v/>
      </c>
      <c r="S31" s="29" t="str">
        <f t="shared" si="31"/>
        <v/>
      </c>
      <c r="T31" s="29" t="str">
        <f t="shared" si="31"/>
        <v/>
      </c>
      <c r="U31" s="29" t="str">
        <f t="shared" si="31"/>
        <v/>
      </c>
      <c r="V31" s="29" t="str">
        <f t="shared" si="31"/>
        <v/>
      </c>
      <c r="W31" s="29" t="str">
        <f t="shared" si="31"/>
        <v/>
      </c>
      <c r="X31" s="29" t="str">
        <f t="shared" si="31"/>
        <v/>
      </c>
      <c r="Y31" s="29" t="str">
        <f t="shared" si="31"/>
        <v/>
      </c>
      <c r="Z31" s="29" t="str">
        <f t="shared" si="31"/>
        <v/>
      </c>
      <c r="AA31" s="29" t="str">
        <f t="shared" si="31"/>
        <v/>
      </c>
      <c r="AB31" s="29" t="str">
        <f t="shared" si="31"/>
        <v/>
      </c>
      <c r="AC31" s="29" t="str">
        <f t="shared" si="31"/>
        <v/>
      </c>
      <c r="AD31" s="29" t="str">
        <f t="shared" si="31"/>
        <v/>
      </c>
      <c r="AE31" s="29" t="str">
        <f t="shared" si="31"/>
        <v/>
      </c>
      <c r="AF31" s="29" t="str">
        <f t="shared" si="31"/>
        <v/>
      </c>
      <c r="AG31" s="29" t="str">
        <f t="shared" si="31"/>
        <v/>
      </c>
      <c r="AH31" s="29" t="str">
        <f t="shared" si="31"/>
        <v/>
      </c>
      <c r="AI31" s="29" t="str">
        <f t="shared" si="31"/>
        <v/>
      </c>
      <c r="AJ31" s="29" t="str">
        <f t="shared" si="31"/>
        <v/>
      </c>
      <c r="AK31" s="29" t="str">
        <f t="shared" si="31"/>
        <v/>
      </c>
      <c r="AL31" s="29" t="str">
        <f t="shared" si="31"/>
        <v/>
      </c>
      <c r="AM31" s="29" t="str">
        <f t="shared" si="31"/>
        <v/>
      </c>
      <c r="AN31" s="29" t="str">
        <f t="shared" si="31"/>
        <v/>
      </c>
      <c r="AO31" s="29" t="str">
        <f t="shared" si="31"/>
        <v/>
      </c>
      <c r="AP31" s="29" t="str">
        <f t="shared" si="31"/>
        <v/>
      </c>
      <c r="AQ31" s="29" t="str">
        <f t="shared" si="31"/>
        <v/>
      </c>
      <c r="AR31" s="29" t="str">
        <f t="shared" si="31"/>
        <v/>
      </c>
      <c r="AS31" s="29" t="str">
        <f t="shared" si="31"/>
        <v/>
      </c>
      <c r="AT31" s="29" t="str">
        <f t="shared" si="31"/>
        <v/>
      </c>
      <c r="AU31" s="29" t="str">
        <f t="shared" si="31"/>
        <v/>
      </c>
      <c r="AV31" s="29" t="str">
        <f t="shared" si="31"/>
        <v/>
      </c>
      <c r="AW31" s="29" t="str">
        <f t="shared" si="31"/>
        <v/>
      </c>
      <c r="AX31" s="29" t="str">
        <f t="shared" si="31"/>
        <v/>
      </c>
      <c r="AY31" s="29" t="str">
        <f t="shared" si="31"/>
        <v/>
      </c>
      <c r="AZ31" s="29" t="str">
        <f t="shared" si="31"/>
        <v/>
      </c>
      <c r="BA31" s="29" t="str">
        <f t="shared" si="31"/>
        <v/>
      </c>
      <c r="BB31" s="29" t="str">
        <f t="shared" si="31"/>
        <v/>
      </c>
      <c r="BC31" s="29" t="str">
        <f t="shared" si="31"/>
        <v/>
      </c>
      <c r="BD31" s="29" t="str">
        <f t="shared" si="31"/>
        <v/>
      </c>
      <c r="BE31" s="29" t="str">
        <f t="shared" si="31"/>
        <v/>
      </c>
      <c r="BF31" s="29" t="str">
        <f t="shared" si="31"/>
        <v/>
      </c>
      <c r="BG31" s="29" t="str">
        <f t="shared" si="31"/>
        <v/>
      </c>
      <c r="BH31" s="29" t="str">
        <f t="shared" si="31"/>
        <v/>
      </c>
      <c r="BI31" s="29" t="str">
        <f t="shared" si="31"/>
        <v/>
      </c>
      <c r="BJ31" s="29" t="str">
        <f t="shared" si="31"/>
        <v/>
      </c>
      <c r="BK31" s="29" t="str">
        <f t="shared" si="31"/>
        <v/>
      </c>
      <c r="BL31" s="29" t="str">
        <f t="shared" si="31"/>
        <v/>
      </c>
      <c r="BM31" s="29" t="str">
        <f t="shared" si="31"/>
        <v/>
      </c>
      <c r="BN31" s="29" t="str">
        <f t="shared" si="31"/>
        <v/>
      </c>
      <c r="BO31" s="29" t="str">
        <f t="shared" si="26"/>
        <v/>
      </c>
      <c r="BP31" s="29" t="str">
        <f t="shared" si="26"/>
        <v/>
      </c>
      <c r="BQ31" s="29" t="str">
        <f t="shared" si="26"/>
        <v/>
      </c>
      <c r="BR31" s="29" t="str">
        <f t="shared" si="26"/>
        <v/>
      </c>
      <c r="BS31" s="29" t="str">
        <f t="shared" si="26"/>
        <v/>
      </c>
      <c r="BT31" s="29" t="str">
        <f t="shared" si="26"/>
        <v/>
      </c>
      <c r="BU31" s="29" t="str">
        <f t="shared" si="26"/>
        <v/>
      </c>
      <c r="BV31" s="29" t="str">
        <f t="shared" si="26"/>
        <v/>
      </c>
      <c r="BW31" s="29" t="str">
        <f t="shared" si="26"/>
        <v/>
      </c>
      <c r="BX31" s="29" t="str">
        <f t="shared" si="26"/>
        <v/>
      </c>
      <c r="BY31" s="29" t="str">
        <f t="shared" si="26"/>
        <v/>
      </c>
      <c r="BZ31" s="29" t="str">
        <f t="shared" si="26"/>
        <v/>
      </c>
      <c r="CA31" s="29" t="str">
        <f t="shared" si="26"/>
        <v/>
      </c>
      <c r="CB31" s="29" t="str">
        <f t="shared" si="26"/>
        <v/>
      </c>
      <c r="CC31" s="29" t="str">
        <f t="shared" si="26"/>
        <v/>
      </c>
      <c r="CD31" s="29" t="str">
        <f t="shared" si="26"/>
        <v/>
      </c>
      <c r="CE31" s="29" t="str">
        <f t="shared" si="26"/>
        <v/>
      </c>
      <c r="CF31" s="29" t="str">
        <f t="shared" si="26"/>
        <v/>
      </c>
      <c r="CG31" s="29" t="str">
        <f t="shared" si="26"/>
        <v/>
      </c>
      <c r="CH31" s="29" t="str">
        <f t="shared" si="26"/>
        <v/>
      </c>
      <c r="CI31" s="29" t="str">
        <f t="shared" si="26"/>
        <v/>
      </c>
      <c r="CJ31" s="29" t="str">
        <f t="shared" si="26"/>
        <v/>
      </c>
      <c r="CK31" s="29" t="str">
        <f t="shared" si="26"/>
        <v/>
      </c>
      <c r="CL31" s="29" t="str">
        <f t="shared" si="26"/>
        <v/>
      </c>
      <c r="CM31" s="29" t="str">
        <f t="shared" si="26"/>
        <v/>
      </c>
      <c r="CN31" s="29" t="str">
        <f t="shared" si="26"/>
        <v/>
      </c>
      <c r="CO31" s="29" t="str">
        <f t="shared" si="26"/>
        <v/>
      </c>
      <c r="CP31" s="29" t="str">
        <f t="shared" si="26"/>
        <v/>
      </c>
      <c r="CQ31" s="29" t="str">
        <f t="shared" si="26"/>
        <v/>
      </c>
      <c r="CR31" s="29" t="str">
        <f t="shared" si="26"/>
        <v/>
      </c>
      <c r="CS31" s="29" t="str">
        <f t="shared" si="26"/>
        <v/>
      </c>
      <c r="CT31" s="29" t="str">
        <f t="shared" si="26"/>
        <v/>
      </c>
      <c r="CU31" s="29" t="str">
        <f t="shared" si="26"/>
        <v/>
      </c>
      <c r="CV31" s="29" t="str">
        <f t="shared" si="26"/>
        <v/>
      </c>
      <c r="CW31" s="29" t="str">
        <f t="shared" si="26"/>
        <v/>
      </c>
      <c r="CX31" s="29" t="str">
        <f t="shared" si="26"/>
        <v/>
      </c>
      <c r="CY31" s="29" t="str">
        <f t="shared" si="26"/>
        <v/>
      </c>
      <c r="CZ31" s="29" t="str">
        <f t="shared" si="26"/>
        <v/>
      </c>
      <c r="DA31" s="29" t="str">
        <f t="shared" si="26"/>
        <v/>
      </c>
      <c r="DB31" s="29" t="str">
        <f t="shared" si="26"/>
        <v/>
      </c>
      <c r="DC31" s="29" t="str">
        <f t="shared" si="26"/>
        <v/>
      </c>
      <c r="DD31" s="29" t="str">
        <f t="shared" si="26"/>
        <v/>
      </c>
      <c r="DE31" s="29" t="str">
        <f t="shared" si="26"/>
        <v/>
      </c>
      <c r="DF31" s="29" t="str">
        <f t="shared" si="26"/>
        <v/>
      </c>
      <c r="DG31" s="29" t="str">
        <f t="shared" si="26"/>
        <v/>
      </c>
      <c r="DH31" s="29" t="str">
        <f t="shared" si="26"/>
        <v/>
      </c>
      <c r="DI31" s="29" t="str">
        <f t="shared" si="26"/>
        <v/>
      </c>
      <c r="DJ31" s="29" t="str">
        <f t="shared" si="26"/>
        <v/>
      </c>
      <c r="DK31" s="29" t="str">
        <f t="shared" si="26"/>
        <v/>
      </c>
      <c r="DL31" s="29" t="str">
        <f t="shared" si="26"/>
        <v/>
      </c>
      <c r="DM31" s="29" t="str">
        <f t="shared" si="26"/>
        <v/>
      </c>
      <c r="DN31" s="29" t="str">
        <f t="shared" si="26"/>
        <v/>
      </c>
      <c r="DO31" s="29" t="str">
        <f t="shared" si="26"/>
        <v/>
      </c>
      <c r="DP31" s="29" t="str">
        <f t="shared" si="26"/>
        <v/>
      </c>
      <c r="DQ31" s="29" t="str">
        <f t="shared" si="26"/>
        <v/>
      </c>
      <c r="DR31" s="29" t="str">
        <f t="shared" si="26"/>
        <v/>
      </c>
      <c r="DS31" s="29" t="str">
        <f t="shared" si="26"/>
        <v/>
      </c>
      <c r="DT31" s="29" t="str">
        <f t="shared" si="26"/>
        <v/>
      </c>
      <c r="DU31" s="29" t="str">
        <f t="shared" si="26"/>
        <v/>
      </c>
      <c r="DV31" s="29" t="str">
        <f t="shared" si="26"/>
        <v/>
      </c>
      <c r="DW31" s="29" t="str">
        <f t="shared" si="26"/>
        <v/>
      </c>
      <c r="DX31" s="29" t="str">
        <f t="shared" si="26"/>
        <v/>
      </c>
      <c r="DY31" s="29" t="str">
        <f t="shared" si="26"/>
        <v/>
      </c>
      <c r="DZ31" s="29" t="str">
        <f t="shared" si="26"/>
        <v/>
      </c>
      <c r="EA31" s="29" t="str">
        <f t="shared" si="27"/>
        <v/>
      </c>
      <c r="EB31" s="29" t="str">
        <f t="shared" si="27"/>
        <v/>
      </c>
      <c r="EC31" s="29" t="str">
        <f t="shared" si="27"/>
        <v/>
      </c>
      <c r="ED31" s="29" t="str">
        <f t="shared" si="27"/>
        <v/>
      </c>
      <c r="EE31" s="29" t="str">
        <f t="shared" si="27"/>
        <v/>
      </c>
      <c r="EF31" s="29" t="str">
        <f t="shared" si="27"/>
        <v/>
      </c>
      <c r="EG31" s="29" t="str">
        <f t="shared" si="27"/>
        <v/>
      </c>
      <c r="EH31" s="29" t="str">
        <f t="shared" si="27"/>
        <v/>
      </c>
      <c r="EI31" s="29" t="str">
        <f t="shared" si="27"/>
        <v/>
      </c>
      <c r="EJ31" s="29" t="str">
        <f t="shared" si="27"/>
        <v/>
      </c>
      <c r="EK31" s="29" t="str">
        <f t="shared" si="27"/>
        <v/>
      </c>
      <c r="EL31" s="29" t="str">
        <f t="shared" si="27"/>
        <v/>
      </c>
      <c r="EM31" s="29" t="str">
        <f t="shared" si="27"/>
        <v/>
      </c>
      <c r="EN31" s="29" t="str">
        <f t="shared" si="27"/>
        <v/>
      </c>
      <c r="EO31" s="29" t="str">
        <f t="shared" si="27"/>
        <v/>
      </c>
      <c r="EP31" s="29" t="str">
        <f t="shared" si="27"/>
        <v/>
      </c>
      <c r="EQ31" s="29" t="str">
        <f t="shared" si="27"/>
        <v/>
      </c>
      <c r="ER31" s="29" t="str">
        <f t="shared" si="27"/>
        <v/>
      </c>
      <c r="ES31" s="29" t="str">
        <f t="shared" si="27"/>
        <v/>
      </c>
      <c r="ET31" s="29" t="str">
        <f t="shared" si="27"/>
        <v/>
      </c>
      <c r="EU31" s="29" t="str">
        <f t="shared" si="27"/>
        <v/>
      </c>
      <c r="EV31" s="29" t="str">
        <f t="shared" si="27"/>
        <v/>
      </c>
      <c r="EW31" s="29" t="str">
        <f t="shared" si="27"/>
        <v/>
      </c>
      <c r="EX31" s="29" t="str">
        <f t="shared" si="27"/>
        <v/>
      </c>
      <c r="EY31" s="29" t="str">
        <f t="shared" si="27"/>
        <v/>
      </c>
      <c r="EZ31" s="29" t="str">
        <f t="shared" si="27"/>
        <v/>
      </c>
      <c r="FA31" s="29" t="str">
        <f t="shared" si="27"/>
        <v/>
      </c>
      <c r="FB31" s="29" t="str">
        <f t="shared" si="27"/>
        <v/>
      </c>
      <c r="FC31" s="29" t="str">
        <f t="shared" si="27"/>
        <v/>
      </c>
      <c r="FD31" s="29" t="str">
        <f t="shared" si="27"/>
        <v/>
      </c>
      <c r="FE31" s="29" t="str">
        <f t="shared" si="27"/>
        <v/>
      </c>
      <c r="FF31" s="29" t="str">
        <f t="shared" si="27"/>
        <v/>
      </c>
      <c r="FG31" s="29" t="str">
        <f t="shared" si="27"/>
        <v/>
      </c>
      <c r="FH31" s="29" t="str">
        <f t="shared" si="27"/>
        <v/>
      </c>
      <c r="FI31" s="29" t="str">
        <f t="shared" si="27"/>
        <v/>
      </c>
      <c r="FJ31" s="29" t="str">
        <f t="shared" si="27"/>
        <v/>
      </c>
      <c r="FK31" s="29" t="str">
        <f t="shared" si="27"/>
        <v/>
      </c>
      <c r="FL31" s="29" t="str">
        <f t="shared" si="27"/>
        <v/>
      </c>
      <c r="FM31" s="29" t="str">
        <f t="shared" si="27"/>
        <v/>
      </c>
      <c r="FN31" s="29" t="str">
        <f t="shared" si="27"/>
        <v/>
      </c>
      <c r="FO31" s="29" t="str">
        <f t="shared" si="27"/>
        <v/>
      </c>
      <c r="FP31" s="29" t="str">
        <f t="shared" si="27"/>
        <v/>
      </c>
      <c r="FQ31" s="29" t="str">
        <f t="shared" si="27"/>
        <v/>
      </c>
      <c r="FR31" s="29" t="str">
        <f t="shared" si="27"/>
        <v/>
      </c>
      <c r="FS31" s="29" t="str">
        <f t="shared" si="27"/>
        <v/>
      </c>
      <c r="FT31" s="29" t="str">
        <f t="shared" si="27"/>
        <v/>
      </c>
      <c r="FU31" s="29" t="str">
        <f t="shared" si="27"/>
        <v/>
      </c>
      <c r="FV31" s="29" t="str">
        <f t="shared" si="27"/>
        <v/>
      </c>
      <c r="FW31" s="29" t="str">
        <f t="shared" si="27"/>
        <v/>
      </c>
      <c r="FX31" s="29" t="str">
        <f t="shared" si="27"/>
        <v/>
      </c>
      <c r="FY31" s="29" t="str">
        <f t="shared" si="27"/>
        <v/>
      </c>
      <c r="FZ31" s="29" t="str">
        <f t="shared" si="27"/>
        <v/>
      </c>
      <c r="GA31" s="29" t="str">
        <f t="shared" si="27"/>
        <v/>
      </c>
      <c r="GB31" s="29" t="str">
        <f t="shared" si="27"/>
        <v/>
      </c>
      <c r="GC31" s="29" t="str">
        <f t="shared" si="27"/>
        <v/>
      </c>
      <c r="GD31" s="29" t="str">
        <f t="shared" si="27"/>
        <v/>
      </c>
      <c r="GE31" s="29" t="str">
        <f t="shared" si="27"/>
        <v/>
      </c>
      <c r="GF31" s="29" t="str">
        <f t="shared" si="27"/>
        <v/>
      </c>
      <c r="GG31" s="29" t="str">
        <f t="shared" si="27"/>
        <v/>
      </c>
      <c r="GH31" s="29" t="str">
        <f t="shared" si="27"/>
        <v/>
      </c>
      <c r="GI31" s="29" t="str">
        <f t="shared" si="27"/>
        <v/>
      </c>
      <c r="GJ31" s="29" t="str">
        <f t="shared" si="27"/>
        <v/>
      </c>
      <c r="GK31" s="29" t="str">
        <f t="shared" si="27"/>
        <v/>
      </c>
      <c r="GL31" s="29" t="str">
        <f t="shared" si="27"/>
        <v/>
      </c>
      <c r="GM31" s="29" t="str">
        <f t="shared" si="28"/>
        <v/>
      </c>
      <c r="GN31" s="29" t="str">
        <f t="shared" si="28"/>
        <v/>
      </c>
      <c r="GO31" s="29" t="str">
        <f t="shared" si="28"/>
        <v/>
      </c>
      <c r="GP31" s="29" t="str">
        <f t="shared" si="28"/>
        <v/>
      </c>
      <c r="GQ31" s="29" t="str">
        <f t="shared" si="28"/>
        <v/>
      </c>
      <c r="GR31" s="29" t="str">
        <f t="shared" si="28"/>
        <v/>
      </c>
      <c r="GS31" s="29" t="str">
        <f t="shared" si="28"/>
        <v/>
      </c>
      <c r="GT31" s="29" t="str">
        <f t="shared" si="28"/>
        <v/>
      </c>
      <c r="GU31" s="29" t="str">
        <f t="shared" si="28"/>
        <v/>
      </c>
      <c r="GV31" s="29" t="str">
        <f t="shared" si="28"/>
        <v/>
      </c>
      <c r="GW31" s="29" t="str">
        <f t="shared" si="28"/>
        <v/>
      </c>
      <c r="GX31" s="29" t="str">
        <f t="shared" si="28"/>
        <v/>
      </c>
      <c r="GY31" s="29" t="str">
        <f t="shared" si="28"/>
        <v/>
      </c>
      <c r="GZ31" s="29" t="str">
        <f t="shared" si="28"/>
        <v/>
      </c>
      <c r="HA31" s="29" t="str">
        <f t="shared" si="28"/>
        <v/>
      </c>
      <c r="HB31" s="29" t="str">
        <f t="shared" si="28"/>
        <v/>
      </c>
      <c r="HC31" s="29" t="str">
        <f t="shared" si="28"/>
        <v/>
      </c>
      <c r="HD31" s="29" t="str">
        <f t="shared" si="28"/>
        <v/>
      </c>
      <c r="HE31" s="29" t="str">
        <f t="shared" si="28"/>
        <v/>
      </c>
      <c r="HF31" s="29" t="str">
        <f t="shared" si="28"/>
        <v/>
      </c>
      <c r="HG31" s="29" t="str">
        <f t="shared" si="28"/>
        <v/>
      </c>
      <c r="HH31" s="29" t="str">
        <f t="shared" si="28"/>
        <v/>
      </c>
      <c r="HI31" s="29" t="str">
        <f t="shared" si="28"/>
        <v/>
      </c>
      <c r="HJ31" s="29" t="str">
        <f t="shared" si="28"/>
        <v/>
      </c>
      <c r="HK31" s="29" t="str">
        <f t="shared" si="28"/>
        <v/>
      </c>
      <c r="HL31" s="29" t="str">
        <f t="shared" si="28"/>
        <v/>
      </c>
      <c r="HM31" s="29" t="str">
        <f t="shared" si="28"/>
        <v/>
      </c>
      <c r="HN31" s="29" t="str">
        <f t="shared" si="28"/>
        <v/>
      </c>
      <c r="HO31" s="29" t="str">
        <f t="shared" si="28"/>
        <v/>
      </c>
      <c r="HP31" s="29" t="str">
        <f t="shared" si="28"/>
        <v/>
      </c>
      <c r="HQ31" s="29" t="str">
        <f t="shared" si="28"/>
        <v/>
      </c>
      <c r="HR31" s="29" t="str">
        <f t="shared" si="28"/>
        <v/>
      </c>
      <c r="HS31" s="29" t="str">
        <f t="shared" si="28"/>
        <v/>
      </c>
      <c r="HT31" s="29" t="str">
        <f t="shared" si="28"/>
        <v/>
      </c>
      <c r="HU31" s="29" t="str">
        <f t="shared" si="28"/>
        <v/>
      </c>
      <c r="HV31" s="29" t="str">
        <f t="shared" si="28"/>
        <v/>
      </c>
      <c r="HW31" s="29" t="str">
        <f t="shared" si="28"/>
        <v/>
      </c>
      <c r="HX31" s="29" t="str">
        <f t="shared" si="28"/>
        <v/>
      </c>
      <c r="HY31" s="29" t="str">
        <f t="shared" si="28"/>
        <v/>
      </c>
      <c r="HZ31" s="29" t="str">
        <f t="shared" si="28"/>
        <v/>
      </c>
      <c r="IA31" s="29" t="str">
        <f t="shared" si="28"/>
        <v/>
      </c>
      <c r="IB31" s="29" t="str">
        <f t="shared" si="28"/>
        <v/>
      </c>
      <c r="IC31" s="29" t="str">
        <f t="shared" si="28"/>
        <v/>
      </c>
      <c r="ID31" s="29" t="str">
        <f t="shared" si="28"/>
        <v/>
      </c>
      <c r="IE31" s="29" t="str">
        <f t="shared" si="28"/>
        <v/>
      </c>
      <c r="IF31" s="29" t="str">
        <f t="shared" si="28"/>
        <v/>
      </c>
      <c r="IG31" s="29" t="str">
        <f t="shared" si="28"/>
        <v/>
      </c>
      <c r="IH31" s="29" t="str">
        <f t="shared" si="28"/>
        <v/>
      </c>
      <c r="II31" s="29" t="str">
        <f t="shared" si="28"/>
        <v/>
      </c>
      <c r="IJ31" s="29" t="str">
        <f t="shared" si="28"/>
        <v/>
      </c>
      <c r="IK31" s="29" t="str">
        <f t="shared" si="28"/>
        <v/>
      </c>
      <c r="IL31" s="29" t="str">
        <f t="shared" si="28"/>
        <v/>
      </c>
      <c r="IM31" s="29" t="str">
        <f t="shared" si="28"/>
        <v/>
      </c>
      <c r="IN31" s="29" t="str">
        <f t="shared" si="28"/>
        <v/>
      </c>
      <c r="IO31" s="29" t="str">
        <f t="shared" si="28"/>
        <v/>
      </c>
      <c r="IP31" s="29" t="str">
        <f t="shared" si="28"/>
        <v/>
      </c>
      <c r="IQ31" s="29" t="str">
        <f t="shared" si="28"/>
        <v/>
      </c>
      <c r="IR31" s="29" t="str">
        <f t="shared" si="28"/>
        <v/>
      </c>
      <c r="IS31" s="29" t="str">
        <f t="shared" si="28"/>
        <v/>
      </c>
      <c r="IT31" s="29" t="str">
        <f t="shared" si="28"/>
        <v/>
      </c>
      <c r="IU31" s="29" t="str">
        <f t="shared" si="28"/>
        <v/>
      </c>
      <c r="IV31" s="29" t="str">
        <f t="shared" si="28"/>
        <v/>
      </c>
      <c r="IW31" s="29" t="str">
        <f t="shared" si="28"/>
        <v/>
      </c>
      <c r="IX31" s="29" t="str">
        <f t="shared" si="28"/>
        <v/>
      </c>
      <c r="IY31" s="29" t="str">
        <f t="shared" si="29"/>
        <v/>
      </c>
      <c r="IZ31" s="29" t="str">
        <f t="shared" si="29"/>
        <v/>
      </c>
      <c r="JA31" s="29" t="str">
        <f t="shared" si="29"/>
        <v/>
      </c>
      <c r="JB31" s="29" t="str">
        <f t="shared" si="29"/>
        <v/>
      </c>
      <c r="JC31" s="29" t="str">
        <f t="shared" si="29"/>
        <v/>
      </c>
      <c r="JD31" s="29" t="str">
        <f t="shared" si="29"/>
        <v/>
      </c>
      <c r="JE31" s="29" t="str">
        <f t="shared" si="29"/>
        <v/>
      </c>
      <c r="JF31" s="29" t="str">
        <f t="shared" si="29"/>
        <v/>
      </c>
      <c r="JG31" s="29" t="str">
        <f t="shared" si="29"/>
        <v/>
      </c>
      <c r="JH31" s="29" t="str">
        <f t="shared" si="29"/>
        <v/>
      </c>
      <c r="JI31" s="29" t="str">
        <f t="shared" si="29"/>
        <v/>
      </c>
      <c r="JJ31" s="29" t="str">
        <f t="shared" si="29"/>
        <v/>
      </c>
      <c r="JK31" s="29" t="str">
        <f t="shared" si="29"/>
        <v/>
      </c>
      <c r="JL31" s="29" t="str">
        <f t="shared" si="29"/>
        <v/>
      </c>
      <c r="JM31" s="29" t="str">
        <f t="shared" si="29"/>
        <v/>
      </c>
      <c r="JN31" s="29" t="str">
        <f t="shared" si="29"/>
        <v/>
      </c>
      <c r="JO31" s="29" t="str">
        <f t="shared" si="29"/>
        <v/>
      </c>
      <c r="JP31" s="29" t="str">
        <f t="shared" si="29"/>
        <v/>
      </c>
      <c r="JQ31" s="29" t="str">
        <f t="shared" si="29"/>
        <v/>
      </c>
      <c r="JR31" s="29" t="str">
        <f t="shared" si="29"/>
        <v/>
      </c>
      <c r="JS31" s="29" t="str">
        <f t="shared" si="29"/>
        <v/>
      </c>
      <c r="JT31" s="29" t="str">
        <f t="shared" si="29"/>
        <v/>
      </c>
      <c r="JU31" s="29" t="str">
        <f t="shared" si="29"/>
        <v/>
      </c>
      <c r="JV31" s="29" t="str">
        <f t="shared" si="29"/>
        <v/>
      </c>
      <c r="JW31" s="29" t="str">
        <f t="shared" si="29"/>
        <v/>
      </c>
      <c r="JX31" s="29" t="str">
        <f t="shared" si="29"/>
        <v/>
      </c>
      <c r="JY31" s="29" t="str">
        <f t="shared" si="29"/>
        <v/>
      </c>
      <c r="JZ31" s="29" t="str">
        <f t="shared" si="29"/>
        <v/>
      </c>
      <c r="KA31" s="29" t="str">
        <f t="shared" si="29"/>
        <v/>
      </c>
      <c r="KB31" s="29" t="str">
        <f t="shared" si="29"/>
        <v/>
      </c>
      <c r="KC31" s="29" t="str">
        <f t="shared" si="29"/>
        <v/>
      </c>
      <c r="KD31" s="29" t="str">
        <f t="shared" si="29"/>
        <v/>
      </c>
      <c r="KE31" s="29" t="str">
        <f t="shared" si="29"/>
        <v/>
      </c>
      <c r="KF31" s="29" t="str">
        <f t="shared" si="29"/>
        <v/>
      </c>
      <c r="KG31" s="29" t="str">
        <f t="shared" si="29"/>
        <v/>
      </c>
      <c r="KH31" s="29" t="str">
        <f t="shared" si="29"/>
        <v/>
      </c>
      <c r="KI31" s="29" t="str">
        <f t="shared" si="29"/>
        <v/>
      </c>
      <c r="KJ31" s="29" t="str">
        <f t="shared" si="29"/>
        <v/>
      </c>
      <c r="KK31" s="29" t="str">
        <f t="shared" si="29"/>
        <v/>
      </c>
      <c r="KL31" s="29" t="str">
        <f t="shared" si="29"/>
        <v/>
      </c>
      <c r="KM31" s="29" t="str">
        <f t="shared" si="29"/>
        <v/>
      </c>
      <c r="KN31" s="29" t="str">
        <f t="shared" si="29"/>
        <v/>
      </c>
      <c r="KO31" s="29" t="str">
        <f t="shared" si="29"/>
        <v/>
      </c>
      <c r="KP31" s="29" t="str">
        <f t="shared" si="29"/>
        <v/>
      </c>
    </row>
    <row r="32" spans="1:302" customFormat="1" hidden="1" outlineLevel="1" x14ac:dyDescent="0.2">
      <c r="A32" s="33">
        <f t="shared" si="24"/>
        <v>-0.01</v>
      </c>
      <c r="B32" s="29" t="str">
        <f t="shared" si="30"/>
        <v/>
      </c>
      <c r="C32" s="29" t="str">
        <f t="shared" si="31"/>
        <v/>
      </c>
      <c r="D32" s="29" t="str">
        <f t="shared" si="31"/>
        <v/>
      </c>
      <c r="E32" s="29" t="str">
        <f t="shared" si="31"/>
        <v/>
      </c>
      <c r="F32" s="29" t="str">
        <f t="shared" si="31"/>
        <v/>
      </c>
      <c r="G32" s="29" t="str">
        <f t="shared" si="31"/>
        <v/>
      </c>
      <c r="H32" s="29" t="str">
        <f t="shared" si="31"/>
        <v/>
      </c>
      <c r="I32" s="29" t="str">
        <f t="shared" si="31"/>
        <v/>
      </c>
      <c r="J32" s="29" t="str">
        <f t="shared" si="31"/>
        <v/>
      </c>
      <c r="K32" s="29" t="str">
        <f t="shared" si="31"/>
        <v/>
      </c>
      <c r="L32" s="29" t="str">
        <f t="shared" si="31"/>
        <v/>
      </c>
      <c r="M32" s="29" t="str">
        <f t="shared" si="31"/>
        <v/>
      </c>
      <c r="N32" s="29" t="str">
        <f t="shared" si="31"/>
        <v/>
      </c>
      <c r="O32" s="29" t="str">
        <f t="shared" si="31"/>
        <v/>
      </c>
      <c r="P32" s="29" t="str">
        <f t="shared" si="31"/>
        <v/>
      </c>
      <c r="Q32" s="29" t="str">
        <f t="shared" si="31"/>
        <v/>
      </c>
      <c r="R32" s="29" t="str">
        <f t="shared" si="31"/>
        <v/>
      </c>
      <c r="S32" s="29" t="str">
        <f t="shared" si="31"/>
        <v/>
      </c>
      <c r="T32" s="29" t="str">
        <f t="shared" si="31"/>
        <v/>
      </c>
      <c r="U32" s="29" t="str">
        <f t="shared" si="31"/>
        <v/>
      </c>
      <c r="V32" s="29" t="str">
        <f t="shared" si="31"/>
        <v/>
      </c>
      <c r="W32" s="29" t="str">
        <f t="shared" si="31"/>
        <v/>
      </c>
      <c r="X32" s="29" t="str">
        <f t="shared" si="31"/>
        <v/>
      </c>
      <c r="Y32" s="29" t="str">
        <f t="shared" si="31"/>
        <v/>
      </c>
      <c r="Z32" s="29" t="str">
        <f t="shared" si="31"/>
        <v/>
      </c>
      <c r="AA32" s="29" t="str">
        <f t="shared" si="31"/>
        <v/>
      </c>
      <c r="AB32" s="29" t="str">
        <f t="shared" si="31"/>
        <v/>
      </c>
      <c r="AC32" s="29" t="str">
        <f t="shared" si="31"/>
        <v/>
      </c>
      <c r="AD32" s="29" t="str">
        <f t="shared" si="31"/>
        <v/>
      </c>
      <c r="AE32" s="29" t="str">
        <f t="shared" si="31"/>
        <v/>
      </c>
      <c r="AF32" s="29" t="str">
        <f t="shared" si="31"/>
        <v/>
      </c>
      <c r="AG32" s="29" t="str">
        <f t="shared" si="31"/>
        <v/>
      </c>
      <c r="AH32" s="29" t="str">
        <f t="shared" si="31"/>
        <v/>
      </c>
      <c r="AI32" s="29" t="str">
        <f t="shared" si="31"/>
        <v/>
      </c>
      <c r="AJ32" s="29" t="str">
        <f t="shared" si="31"/>
        <v/>
      </c>
      <c r="AK32" s="29" t="str">
        <f t="shared" si="31"/>
        <v/>
      </c>
      <c r="AL32" s="29" t="str">
        <f t="shared" si="31"/>
        <v/>
      </c>
      <c r="AM32" s="29" t="str">
        <f t="shared" si="31"/>
        <v/>
      </c>
      <c r="AN32" s="29" t="str">
        <f t="shared" si="31"/>
        <v/>
      </c>
      <c r="AO32" s="29" t="str">
        <f t="shared" si="31"/>
        <v/>
      </c>
      <c r="AP32" s="29" t="str">
        <f t="shared" si="31"/>
        <v/>
      </c>
      <c r="AQ32" s="29" t="str">
        <f t="shared" si="31"/>
        <v/>
      </c>
      <c r="AR32" s="29" t="str">
        <f t="shared" si="31"/>
        <v/>
      </c>
      <c r="AS32" s="29" t="str">
        <f t="shared" si="31"/>
        <v/>
      </c>
      <c r="AT32" s="29" t="str">
        <f t="shared" si="31"/>
        <v/>
      </c>
      <c r="AU32" s="29" t="str">
        <f t="shared" si="31"/>
        <v/>
      </c>
      <c r="AV32" s="29" t="str">
        <f t="shared" si="31"/>
        <v/>
      </c>
      <c r="AW32" s="29" t="str">
        <f t="shared" si="31"/>
        <v/>
      </c>
      <c r="AX32" s="29" t="str">
        <f t="shared" si="31"/>
        <v/>
      </c>
      <c r="AY32" s="29" t="str">
        <f t="shared" si="31"/>
        <v/>
      </c>
      <c r="AZ32" s="29" t="str">
        <f t="shared" si="31"/>
        <v/>
      </c>
      <c r="BA32" s="29" t="str">
        <f t="shared" si="31"/>
        <v/>
      </c>
      <c r="BB32" s="29" t="str">
        <f t="shared" si="31"/>
        <v/>
      </c>
      <c r="BC32" s="29" t="str">
        <f t="shared" si="31"/>
        <v/>
      </c>
      <c r="BD32" s="29" t="str">
        <f t="shared" si="31"/>
        <v/>
      </c>
      <c r="BE32" s="29" t="str">
        <f t="shared" si="31"/>
        <v/>
      </c>
      <c r="BF32" s="29" t="str">
        <f t="shared" si="31"/>
        <v/>
      </c>
      <c r="BG32" s="29" t="str">
        <f t="shared" si="31"/>
        <v/>
      </c>
      <c r="BH32" s="29" t="str">
        <f t="shared" si="31"/>
        <v/>
      </c>
      <c r="BI32" s="29" t="str">
        <f t="shared" si="31"/>
        <v/>
      </c>
      <c r="BJ32" s="29" t="str">
        <f t="shared" si="31"/>
        <v/>
      </c>
      <c r="BK32" s="29" t="str">
        <f t="shared" si="31"/>
        <v/>
      </c>
      <c r="BL32" s="29" t="str">
        <f t="shared" si="31"/>
        <v/>
      </c>
      <c r="BM32" s="29" t="str">
        <f t="shared" si="31"/>
        <v/>
      </c>
      <c r="BN32" s="29" t="str">
        <f t="shared" si="31"/>
        <v/>
      </c>
      <c r="BO32" s="29" t="str">
        <f t="shared" si="26"/>
        <v/>
      </c>
      <c r="BP32" s="29" t="str">
        <f t="shared" si="26"/>
        <v/>
      </c>
      <c r="BQ32" s="29" t="str">
        <f t="shared" si="26"/>
        <v/>
      </c>
      <c r="BR32" s="29" t="str">
        <f t="shared" si="26"/>
        <v/>
      </c>
      <c r="BS32" s="29" t="str">
        <f t="shared" si="26"/>
        <v/>
      </c>
      <c r="BT32" s="29" t="str">
        <f t="shared" si="26"/>
        <v/>
      </c>
      <c r="BU32" s="29" t="str">
        <f t="shared" si="26"/>
        <v/>
      </c>
      <c r="BV32" s="29" t="str">
        <f t="shared" si="26"/>
        <v/>
      </c>
      <c r="BW32" s="29" t="str">
        <f t="shared" si="26"/>
        <v/>
      </c>
      <c r="BX32" s="29" t="str">
        <f t="shared" si="26"/>
        <v/>
      </c>
      <c r="BY32" s="29" t="str">
        <f t="shared" si="26"/>
        <v/>
      </c>
      <c r="BZ32" s="29" t="str">
        <f t="shared" si="26"/>
        <v/>
      </c>
      <c r="CA32" s="29" t="str">
        <f t="shared" si="26"/>
        <v/>
      </c>
      <c r="CB32" s="29" t="str">
        <f t="shared" si="26"/>
        <v/>
      </c>
      <c r="CC32" s="29" t="str">
        <f t="shared" si="26"/>
        <v/>
      </c>
      <c r="CD32" s="29" t="str">
        <f t="shared" si="26"/>
        <v/>
      </c>
      <c r="CE32" s="29" t="str">
        <f t="shared" si="26"/>
        <v/>
      </c>
      <c r="CF32" s="29" t="str">
        <f t="shared" si="26"/>
        <v/>
      </c>
      <c r="CG32" s="29" t="str">
        <f t="shared" si="26"/>
        <v/>
      </c>
      <c r="CH32" s="29" t="str">
        <f t="shared" si="26"/>
        <v/>
      </c>
      <c r="CI32" s="29" t="str">
        <f t="shared" si="26"/>
        <v/>
      </c>
      <c r="CJ32" s="29" t="str">
        <f t="shared" si="26"/>
        <v/>
      </c>
      <c r="CK32" s="29" t="str">
        <f t="shared" si="26"/>
        <v/>
      </c>
      <c r="CL32" s="29" t="str">
        <f t="shared" si="26"/>
        <v/>
      </c>
      <c r="CM32" s="29" t="str">
        <f t="shared" si="26"/>
        <v/>
      </c>
      <c r="CN32" s="29" t="str">
        <f t="shared" si="26"/>
        <v/>
      </c>
      <c r="CO32" s="29" t="str">
        <f t="shared" si="26"/>
        <v/>
      </c>
      <c r="CP32" s="29" t="str">
        <f t="shared" si="26"/>
        <v/>
      </c>
      <c r="CQ32" s="29" t="str">
        <f t="shared" si="26"/>
        <v/>
      </c>
      <c r="CR32" s="29" t="str">
        <f t="shared" si="26"/>
        <v/>
      </c>
      <c r="CS32" s="29" t="str">
        <f t="shared" si="26"/>
        <v/>
      </c>
      <c r="CT32" s="29" t="str">
        <f t="shared" si="26"/>
        <v/>
      </c>
      <c r="CU32" s="29" t="str">
        <f t="shared" si="26"/>
        <v/>
      </c>
      <c r="CV32" s="29" t="str">
        <f t="shared" si="26"/>
        <v/>
      </c>
      <c r="CW32" s="29" t="str">
        <f t="shared" si="26"/>
        <v/>
      </c>
      <c r="CX32" s="29" t="str">
        <f t="shared" si="26"/>
        <v/>
      </c>
      <c r="CY32" s="29" t="str">
        <f t="shared" si="26"/>
        <v/>
      </c>
      <c r="CZ32" s="29" t="str">
        <f t="shared" si="26"/>
        <v/>
      </c>
      <c r="DA32" s="29" t="str">
        <f t="shared" si="26"/>
        <v/>
      </c>
      <c r="DB32" s="29" t="str">
        <f t="shared" si="26"/>
        <v/>
      </c>
      <c r="DC32" s="29" t="str">
        <f t="shared" si="26"/>
        <v/>
      </c>
      <c r="DD32" s="29" t="str">
        <f t="shared" si="26"/>
        <v/>
      </c>
      <c r="DE32" s="29" t="str">
        <f t="shared" si="26"/>
        <v/>
      </c>
      <c r="DF32" s="29" t="str">
        <f t="shared" si="26"/>
        <v/>
      </c>
      <c r="DG32" s="29" t="str">
        <f t="shared" si="26"/>
        <v/>
      </c>
      <c r="DH32" s="29" t="str">
        <f t="shared" si="26"/>
        <v/>
      </c>
      <c r="DI32" s="29" t="str">
        <f t="shared" si="26"/>
        <v/>
      </c>
      <c r="DJ32" s="29" t="str">
        <f t="shared" si="26"/>
        <v/>
      </c>
      <c r="DK32" s="29" t="str">
        <f t="shared" si="26"/>
        <v/>
      </c>
      <c r="DL32" s="29" t="str">
        <f t="shared" si="26"/>
        <v/>
      </c>
      <c r="DM32" s="29" t="str">
        <f t="shared" si="26"/>
        <v/>
      </c>
      <c r="DN32" s="29" t="str">
        <f t="shared" si="26"/>
        <v/>
      </c>
      <c r="DO32" s="29" t="str">
        <f t="shared" si="26"/>
        <v/>
      </c>
      <c r="DP32" s="29" t="str">
        <f t="shared" si="26"/>
        <v/>
      </c>
      <c r="DQ32" s="29" t="str">
        <f t="shared" si="26"/>
        <v/>
      </c>
      <c r="DR32" s="29" t="str">
        <f t="shared" si="26"/>
        <v/>
      </c>
      <c r="DS32" s="29" t="str">
        <f t="shared" si="26"/>
        <v/>
      </c>
      <c r="DT32" s="29" t="str">
        <f t="shared" si="26"/>
        <v/>
      </c>
      <c r="DU32" s="29" t="str">
        <f t="shared" si="26"/>
        <v/>
      </c>
      <c r="DV32" s="29" t="str">
        <f t="shared" si="26"/>
        <v/>
      </c>
      <c r="DW32" s="29" t="str">
        <f t="shared" si="26"/>
        <v/>
      </c>
      <c r="DX32" s="29" t="str">
        <f t="shared" si="26"/>
        <v/>
      </c>
      <c r="DY32" s="29" t="str">
        <f t="shared" si="26"/>
        <v/>
      </c>
      <c r="DZ32" s="29" t="str">
        <f t="shared" ref="DZ32:GK36" si="32">IFERROR(DZ$27*(1+$A32)^-DZ$6,"")</f>
        <v/>
      </c>
      <c r="EA32" s="29" t="str">
        <f t="shared" si="32"/>
        <v/>
      </c>
      <c r="EB32" s="29" t="str">
        <f t="shared" si="32"/>
        <v/>
      </c>
      <c r="EC32" s="29" t="str">
        <f t="shared" si="32"/>
        <v/>
      </c>
      <c r="ED32" s="29" t="str">
        <f t="shared" si="32"/>
        <v/>
      </c>
      <c r="EE32" s="29" t="str">
        <f t="shared" si="32"/>
        <v/>
      </c>
      <c r="EF32" s="29" t="str">
        <f t="shared" si="32"/>
        <v/>
      </c>
      <c r="EG32" s="29" t="str">
        <f t="shared" si="32"/>
        <v/>
      </c>
      <c r="EH32" s="29" t="str">
        <f t="shared" si="32"/>
        <v/>
      </c>
      <c r="EI32" s="29" t="str">
        <f t="shared" si="32"/>
        <v/>
      </c>
      <c r="EJ32" s="29" t="str">
        <f t="shared" si="32"/>
        <v/>
      </c>
      <c r="EK32" s="29" t="str">
        <f t="shared" si="32"/>
        <v/>
      </c>
      <c r="EL32" s="29" t="str">
        <f t="shared" si="32"/>
        <v/>
      </c>
      <c r="EM32" s="29" t="str">
        <f t="shared" si="32"/>
        <v/>
      </c>
      <c r="EN32" s="29" t="str">
        <f t="shared" si="32"/>
        <v/>
      </c>
      <c r="EO32" s="29" t="str">
        <f t="shared" si="32"/>
        <v/>
      </c>
      <c r="EP32" s="29" t="str">
        <f t="shared" si="32"/>
        <v/>
      </c>
      <c r="EQ32" s="29" t="str">
        <f t="shared" si="32"/>
        <v/>
      </c>
      <c r="ER32" s="29" t="str">
        <f t="shared" si="32"/>
        <v/>
      </c>
      <c r="ES32" s="29" t="str">
        <f t="shared" si="32"/>
        <v/>
      </c>
      <c r="ET32" s="29" t="str">
        <f t="shared" si="32"/>
        <v/>
      </c>
      <c r="EU32" s="29" t="str">
        <f t="shared" si="32"/>
        <v/>
      </c>
      <c r="EV32" s="29" t="str">
        <f t="shared" si="32"/>
        <v/>
      </c>
      <c r="EW32" s="29" t="str">
        <f t="shared" si="32"/>
        <v/>
      </c>
      <c r="EX32" s="29" t="str">
        <f t="shared" si="32"/>
        <v/>
      </c>
      <c r="EY32" s="29" t="str">
        <f t="shared" si="32"/>
        <v/>
      </c>
      <c r="EZ32" s="29" t="str">
        <f t="shared" si="32"/>
        <v/>
      </c>
      <c r="FA32" s="29" t="str">
        <f t="shared" si="32"/>
        <v/>
      </c>
      <c r="FB32" s="29" t="str">
        <f t="shared" si="32"/>
        <v/>
      </c>
      <c r="FC32" s="29" t="str">
        <f t="shared" si="32"/>
        <v/>
      </c>
      <c r="FD32" s="29" t="str">
        <f t="shared" si="32"/>
        <v/>
      </c>
      <c r="FE32" s="29" t="str">
        <f t="shared" si="32"/>
        <v/>
      </c>
      <c r="FF32" s="29" t="str">
        <f t="shared" si="32"/>
        <v/>
      </c>
      <c r="FG32" s="29" t="str">
        <f t="shared" si="32"/>
        <v/>
      </c>
      <c r="FH32" s="29" t="str">
        <f t="shared" si="32"/>
        <v/>
      </c>
      <c r="FI32" s="29" t="str">
        <f t="shared" si="32"/>
        <v/>
      </c>
      <c r="FJ32" s="29" t="str">
        <f t="shared" si="32"/>
        <v/>
      </c>
      <c r="FK32" s="29" t="str">
        <f t="shared" si="32"/>
        <v/>
      </c>
      <c r="FL32" s="29" t="str">
        <f t="shared" si="32"/>
        <v/>
      </c>
      <c r="FM32" s="29" t="str">
        <f t="shared" si="32"/>
        <v/>
      </c>
      <c r="FN32" s="29" t="str">
        <f t="shared" si="32"/>
        <v/>
      </c>
      <c r="FO32" s="29" t="str">
        <f t="shared" si="32"/>
        <v/>
      </c>
      <c r="FP32" s="29" t="str">
        <f t="shared" si="32"/>
        <v/>
      </c>
      <c r="FQ32" s="29" t="str">
        <f t="shared" si="32"/>
        <v/>
      </c>
      <c r="FR32" s="29" t="str">
        <f t="shared" si="32"/>
        <v/>
      </c>
      <c r="FS32" s="29" t="str">
        <f t="shared" si="32"/>
        <v/>
      </c>
      <c r="FT32" s="29" t="str">
        <f t="shared" si="32"/>
        <v/>
      </c>
      <c r="FU32" s="29" t="str">
        <f t="shared" si="32"/>
        <v/>
      </c>
      <c r="FV32" s="29" t="str">
        <f t="shared" si="32"/>
        <v/>
      </c>
      <c r="FW32" s="29" t="str">
        <f t="shared" si="32"/>
        <v/>
      </c>
      <c r="FX32" s="29" t="str">
        <f t="shared" si="32"/>
        <v/>
      </c>
      <c r="FY32" s="29" t="str">
        <f t="shared" si="32"/>
        <v/>
      </c>
      <c r="FZ32" s="29" t="str">
        <f t="shared" si="32"/>
        <v/>
      </c>
      <c r="GA32" s="29" t="str">
        <f t="shared" si="32"/>
        <v/>
      </c>
      <c r="GB32" s="29" t="str">
        <f t="shared" si="32"/>
        <v/>
      </c>
      <c r="GC32" s="29" t="str">
        <f t="shared" si="32"/>
        <v/>
      </c>
      <c r="GD32" s="29" t="str">
        <f t="shared" si="32"/>
        <v/>
      </c>
      <c r="GE32" s="29" t="str">
        <f t="shared" si="32"/>
        <v/>
      </c>
      <c r="GF32" s="29" t="str">
        <f t="shared" si="32"/>
        <v/>
      </c>
      <c r="GG32" s="29" t="str">
        <f t="shared" si="32"/>
        <v/>
      </c>
      <c r="GH32" s="29" t="str">
        <f t="shared" si="32"/>
        <v/>
      </c>
      <c r="GI32" s="29" t="str">
        <f t="shared" si="32"/>
        <v/>
      </c>
      <c r="GJ32" s="29" t="str">
        <f t="shared" si="32"/>
        <v/>
      </c>
      <c r="GK32" s="29" t="str">
        <f t="shared" si="32"/>
        <v/>
      </c>
      <c r="GL32" s="29" t="str">
        <f t="shared" si="27"/>
        <v/>
      </c>
      <c r="GM32" s="29" t="str">
        <f t="shared" si="28"/>
        <v/>
      </c>
      <c r="GN32" s="29" t="str">
        <f t="shared" si="28"/>
        <v/>
      </c>
      <c r="GO32" s="29" t="str">
        <f t="shared" si="28"/>
        <v/>
      </c>
      <c r="GP32" s="29" t="str">
        <f t="shared" si="28"/>
        <v/>
      </c>
      <c r="GQ32" s="29" t="str">
        <f t="shared" si="28"/>
        <v/>
      </c>
      <c r="GR32" s="29" t="str">
        <f t="shared" si="28"/>
        <v/>
      </c>
      <c r="GS32" s="29" t="str">
        <f t="shared" si="28"/>
        <v/>
      </c>
      <c r="GT32" s="29" t="str">
        <f t="shared" si="28"/>
        <v/>
      </c>
      <c r="GU32" s="29" t="str">
        <f t="shared" si="28"/>
        <v/>
      </c>
      <c r="GV32" s="29" t="str">
        <f t="shared" si="28"/>
        <v/>
      </c>
      <c r="GW32" s="29" t="str">
        <f t="shared" si="28"/>
        <v/>
      </c>
      <c r="GX32" s="29" t="str">
        <f t="shared" si="28"/>
        <v/>
      </c>
      <c r="GY32" s="29" t="str">
        <f t="shared" si="28"/>
        <v/>
      </c>
      <c r="GZ32" s="29" t="str">
        <f t="shared" si="28"/>
        <v/>
      </c>
      <c r="HA32" s="29" t="str">
        <f t="shared" si="28"/>
        <v/>
      </c>
      <c r="HB32" s="29" t="str">
        <f t="shared" si="28"/>
        <v/>
      </c>
      <c r="HC32" s="29" t="str">
        <f t="shared" si="28"/>
        <v/>
      </c>
      <c r="HD32" s="29" t="str">
        <f t="shared" si="28"/>
        <v/>
      </c>
      <c r="HE32" s="29" t="str">
        <f t="shared" si="28"/>
        <v/>
      </c>
      <c r="HF32" s="29" t="str">
        <f t="shared" si="28"/>
        <v/>
      </c>
      <c r="HG32" s="29" t="str">
        <f t="shared" si="28"/>
        <v/>
      </c>
      <c r="HH32" s="29" t="str">
        <f t="shared" si="28"/>
        <v/>
      </c>
      <c r="HI32" s="29" t="str">
        <f t="shared" si="28"/>
        <v/>
      </c>
      <c r="HJ32" s="29" t="str">
        <f t="shared" si="28"/>
        <v/>
      </c>
      <c r="HK32" s="29" t="str">
        <f t="shared" si="28"/>
        <v/>
      </c>
      <c r="HL32" s="29" t="str">
        <f t="shared" si="28"/>
        <v/>
      </c>
      <c r="HM32" s="29" t="str">
        <f t="shared" si="28"/>
        <v/>
      </c>
      <c r="HN32" s="29" t="str">
        <f t="shared" si="28"/>
        <v/>
      </c>
      <c r="HO32" s="29" t="str">
        <f t="shared" si="28"/>
        <v/>
      </c>
      <c r="HP32" s="29" t="str">
        <f t="shared" si="28"/>
        <v/>
      </c>
      <c r="HQ32" s="29" t="str">
        <f t="shared" si="28"/>
        <v/>
      </c>
      <c r="HR32" s="29" t="str">
        <f t="shared" si="28"/>
        <v/>
      </c>
      <c r="HS32" s="29" t="str">
        <f t="shared" si="28"/>
        <v/>
      </c>
      <c r="HT32" s="29" t="str">
        <f t="shared" si="28"/>
        <v/>
      </c>
      <c r="HU32" s="29" t="str">
        <f t="shared" si="28"/>
        <v/>
      </c>
      <c r="HV32" s="29" t="str">
        <f t="shared" si="28"/>
        <v/>
      </c>
      <c r="HW32" s="29" t="str">
        <f t="shared" si="28"/>
        <v/>
      </c>
      <c r="HX32" s="29" t="str">
        <f t="shared" si="28"/>
        <v/>
      </c>
      <c r="HY32" s="29" t="str">
        <f t="shared" si="28"/>
        <v/>
      </c>
      <c r="HZ32" s="29" t="str">
        <f t="shared" si="28"/>
        <v/>
      </c>
      <c r="IA32" s="29" t="str">
        <f t="shared" si="28"/>
        <v/>
      </c>
      <c r="IB32" s="29" t="str">
        <f t="shared" si="28"/>
        <v/>
      </c>
      <c r="IC32" s="29" t="str">
        <f t="shared" si="28"/>
        <v/>
      </c>
      <c r="ID32" s="29" t="str">
        <f t="shared" si="28"/>
        <v/>
      </c>
      <c r="IE32" s="29" t="str">
        <f t="shared" si="28"/>
        <v/>
      </c>
      <c r="IF32" s="29" t="str">
        <f t="shared" si="28"/>
        <v/>
      </c>
      <c r="IG32" s="29" t="str">
        <f t="shared" si="28"/>
        <v/>
      </c>
      <c r="IH32" s="29" t="str">
        <f t="shared" si="28"/>
        <v/>
      </c>
      <c r="II32" s="29" t="str">
        <f t="shared" si="28"/>
        <v/>
      </c>
      <c r="IJ32" s="29" t="str">
        <f t="shared" si="28"/>
        <v/>
      </c>
      <c r="IK32" s="29" t="str">
        <f t="shared" si="28"/>
        <v/>
      </c>
      <c r="IL32" s="29" t="str">
        <f t="shared" si="28"/>
        <v/>
      </c>
      <c r="IM32" s="29" t="str">
        <f t="shared" si="28"/>
        <v/>
      </c>
      <c r="IN32" s="29" t="str">
        <f t="shared" si="28"/>
        <v/>
      </c>
      <c r="IO32" s="29" t="str">
        <f t="shared" si="28"/>
        <v/>
      </c>
      <c r="IP32" s="29" t="str">
        <f t="shared" si="28"/>
        <v/>
      </c>
      <c r="IQ32" s="29" t="str">
        <f t="shared" si="28"/>
        <v/>
      </c>
      <c r="IR32" s="29" t="str">
        <f t="shared" si="28"/>
        <v/>
      </c>
      <c r="IS32" s="29" t="str">
        <f t="shared" si="28"/>
        <v/>
      </c>
      <c r="IT32" s="29" t="str">
        <f t="shared" si="28"/>
        <v/>
      </c>
      <c r="IU32" s="29" t="str">
        <f t="shared" si="28"/>
        <v/>
      </c>
      <c r="IV32" s="29" t="str">
        <f t="shared" si="28"/>
        <v/>
      </c>
      <c r="IW32" s="29" t="str">
        <f t="shared" si="28"/>
        <v/>
      </c>
      <c r="IX32" s="29" t="str">
        <f t="shared" ref="IX32:KO37" si="33">IFERROR(IX$27*(1+$A32)^-IX$6,"")</f>
        <v/>
      </c>
      <c r="IY32" s="29" t="str">
        <f t="shared" si="33"/>
        <v/>
      </c>
      <c r="IZ32" s="29" t="str">
        <f t="shared" si="33"/>
        <v/>
      </c>
      <c r="JA32" s="29" t="str">
        <f t="shared" si="33"/>
        <v/>
      </c>
      <c r="JB32" s="29" t="str">
        <f t="shared" si="33"/>
        <v/>
      </c>
      <c r="JC32" s="29" t="str">
        <f t="shared" si="33"/>
        <v/>
      </c>
      <c r="JD32" s="29" t="str">
        <f t="shared" si="33"/>
        <v/>
      </c>
      <c r="JE32" s="29" t="str">
        <f t="shared" si="33"/>
        <v/>
      </c>
      <c r="JF32" s="29" t="str">
        <f t="shared" si="33"/>
        <v/>
      </c>
      <c r="JG32" s="29" t="str">
        <f t="shared" si="33"/>
        <v/>
      </c>
      <c r="JH32" s="29" t="str">
        <f t="shared" si="33"/>
        <v/>
      </c>
      <c r="JI32" s="29" t="str">
        <f t="shared" si="33"/>
        <v/>
      </c>
      <c r="JJ32" s="29" t="str">
        <f t="shared" si="33"/>
        <v/>
      </c>
      <c r="JK32" s="29" t="str">
        <f t="shared" si="33"/>
        <v/>
      </c>
      <c r="JL32" s="29" t="str">
        <f t="shared" si="33"/>
        <v/>
      </c>
      <c r="JM32" s="29" t="str">
        <f t="shared" si="33"/>
        <v/>
      </c>
      <c r="JN32" s="29" t="str">
        <f t="shared" si="33"/>
        <v/>
      </c>
      <c r="JO32" s="29" t="str">
        <f t="shared" si="33"/>
        <v/>
      </c>
      <c r="JP32" s="29" t="str">
        <f t="shared" si="33"/>
        <v/>
      </c>
      <c r="JQ32" s="29" t="str">
        <f t="shared" si="33"/>
        <v/>
      </c>
      <c r="JR32" s="29" t="str">
        <f t="shared" si="33"/>
        <v/>
      </c>
      <c r="JS32" s="29" t="str">
        <f t="shared" si="33"/>
        <v/>
      </c>
      <c r="JT32" s="29" t="str">
        <f t="shared" si="33"/>
        <v/>
      </c>
      <c r="JU32" s="29" t="str">
        <f t="shared" si="33"/>
        <v/>
      </c>
      <c r="JV32" s="29" t="str">
        <f t="shared" si="33"/>
        <v/>
      </c>
      <c r="JW32" s="29" t="str">
        <f t="shared" si="33"/>
        <v/>
      </c>
      <c r="JX32" s="29" t="str">
        <f t="shared" si="33"/>
        <v/>
      </c>
      <c r="JY32" s="29" t="str">
        <f t="shared" si="33"/>
        <v/>
      </c>
      <c r="JZ32" s="29" t="str">
        <f t="shared" si="33"/>
        <v/>
      </c>
      <c r="KA32" s="29" t="str">
        <f t="shared" si="33"/>
        <v/>
      </c>
      <c r="KB32" s="29" t="str">
        <f t="shared" si="33"/>
        <v/>
      </c>
      <c r="KC32" s="29" t="str">
        <f t="shared" si="33"/>
        <v/>
      </c>
      <c r="KD32" s="29" t="str">
        <f t="shared" si="33"/>
        <v/>
      </c>
      <c r="KE32" s="29" t="str">
        <f t="shared" si="33"/>
        <v/>
      </c>
      <c r="KF32" s="29" t="str">
        <f t="shared" si="33"/>
        <v/>
      </c>
      <c r="KG32" s="29" t="str">
        <f t="shared" si="33"/>
        <v/>
      </c>
      <c r="KH32" s="29" t="str">
        <f t="shared" si="33"/>
        <v/>
      </c>
      <c r="KI32" s="29" t="str">
        <f t="shared" si="33"/>
        <v/>
      </c>
      <c r="KJ32" s="29" t="str">
        <f t="shared" si="33"/>
        <v/>
      </c>
      <c r="KK32" s="29" t="str">
        <f t="shared" si="33"/>
        <v/>
      </c>
      <c r="KL32" s="29" t="str">
        <f t="shared" si="33"/>
        <v/>
      </c>
      <c r="KM32" s="29" t="str">
        <f t="shared" si="33"/>
        <v/>
      </c>
      <c r="KN32" s="29" t="str">
        <f t="shared" si="33"/>
        <v/>
      </c>
      <c r="KO32" s="29" t="str">
        <f t="shared" si="33"/>
        <v/>
      </c>
      <c r="KP32" s="29" t="str">
        <f t="shared" si="29"/>
        <v/>
      </c>
    </row>
    <row r="33" spans="1:302" customFormat="1" hidden="1" outlineLevel="1" x14ac:dyDescent="0.2">
      <c r="A33" s="33">
        <f>A34-0.005</f>
        <v>-5.0000000000000001E-3</v>
      </c>
      <c r="B33" s="29" t="str">
        <f t="shared" si="30"/>
        <v/>
      </c>
      <c r="C33" s="29" t="str">
        <f t="shared" si="31"/>
        <v/>
      </c>
      <c r="D33" s="29" t="str">
        <f t="shared" si="31"/>
        <v/>
      </c>
      <c r="E33" s="29" t="str">
        <f t="shared" si="31"/>
        <v/>
      </c>
      <c r="F33" s="29" t="str">
        <f t="shared" si="31"/>
        <v/>
      </c>
      <c r="G33" s="29" t="str">
        <f t="shared" si="31"/>
        <v/>
      </c>
      <c r="H33" s="29" t="str">
        <f t="shared" si="31"/>
        <v/>
      </c>
      <c r="I33" s="29" t="str">
        <f t="shared" si="31"/>
        <v/>
      </c>
      <c r="J33" s="29" t="str">
        <f t="shared" si="31"/>
        <v/>
      </c>
      <c r="K33" s="29" t="str">
        <f t="shared" si="31"/>
        <v/>
      </c>
      <c r="L33" s="29" t="str">
        <f t="shared" si="31"/>
        <v/>
      </c>
      <c r="M33" s="29" t="str">
        <f t="shared" si="31"/>
        <v/>
      </c>
      <c r="N33" s="29" t="str">
        <f t="shared" si="31"/>
        <v/>
      </c>
      <c r="O33" s="29" t="str">
        <f t="shared" si="31"/>
        <v/>
      </c>
      <c r="P33" s="29" t="str">
        <f t="shared" si="31"/>
        <v/>
      </c>
      <c r="Q33" s="29" t="str">
        <f t="shared" si="31"/>
        <v/>
      </c>
      <c r="R33" s="29" t="str">
        <f t="shared" si="31"/>
        <v/>
      </c>
      <c r="S33" s="29" t="str">
        <f t="shared" si="31"/>
        <v/>
      </c>
      <c r="T33" s="29" t="str">
        <f t="shared" si="31"/>
        <v/>
      </c>
      <c r="U33" s="29" t="str">
        <f t="shared" si="31"/>
        <v/>
      </c>
      <c r="V33" s="29" t="str">
        <f t="shared" si="31"/>
        <v/>
      </c>
      <c r="W33" s="29" t="str">
        <f t="shared" si="31"/>
        <v/>
      </c>
      <c r="X33" s="29" t="str">
        <f t="shared" si="31"/>
        <v/>
      </c>
      <c r="Y33" s="29" t="str">
        <f t="shared" si="31"/>
        <v/>
      </c>
      <c r="Z33" s="29" t="str">
        <f t="shared" si="31"/>
        <v/>
      </c>
      <c r="AA33" s="29" t="str">
        <f t="shared" si="31"/>
        <v/>
      </c>
      <c r="AB33" s="29" t="str">
        <f t="shared" si="31"/>
        <v/>
      </c>
      <c r="AC33" s="29" t="str">
        <f t="shared" si="31"/>
        <v/>
      </c>
      <c r="AD33" s="29" t="str">
        <f t="shared" si="31"/>
        <v/>
      </c>
      <c r="AE33" s="29" t="str">
        <f t="shared" si="31"/>
        <v/>
      </c>
      <c r="AF33" s="29" t="str">
        <f t="shared" si="31"/>
        <v/>
      </c>
      <c r="AG33" s="29" t="str">
        <f t="shared" si="31"/>
        <v/>
      </c>
      <c r="AH33" s="29" t="str">
        <f t="shared" si="31"/>
        <v/>
      </c>
      <c r="AI33" s="29" t="str">
        <f t="shared" si="31"/>
        <v/>
      </c>
      <c r="AJ33" s="29" t="str">
        <f t="shared" si="31"/>
        <v/>
      </c>
      <c r="AK33" s="29" t="str">
        <f t="shared" si="31"/>
        <v/>
      </c>
      <c r="AL33" s="29" t="str">
        <f t="shared" si="31"/>
        <v/>
      </c>
      <c r="AM33" s="29" t="str">
        <f t="shared" si="31"/>
        <v/>
      </c>
      <c r="AN33" s="29" t="str">
        <f t="shared" si="31"/>
        <v/>
      </c>
      <c r="AO33" s="29" t="str">
        <f t="shared" si="31"/>
        <v/>
      </c>
      <c r="AP33" s="29" t="str">
        <f t="shared" si="31"/>
        <v/>
      </c>
      <c r="AQ33" s="29" t="str">
        <f t="shared" si="31"/>
        <v/>
      </c>
      <c r="AR33" s="29" t="str">
        <f t="shared" si="31"/>
        <v/>
      </c>
      <c r="AS33" s="29" t="str">
        <f t="shared" si="31"/>
        <v/>
      </c>
      <c r="AT33" s="29" t="str">
        <f t="shared" si="31"/>
        <v/>
      </c>
      <c r="AU33" s="29" t="str">
        <f t="shared" si="31"/>
        <v/>
      </c>
      <c r="AV33" s="29" t="str">
        <f t="shared" si="31"/>
        <v/>
      </c>
      <c r="AW33" s="29" t="str">
        <f t="shared" si="31"/>
        <v/>
      </c>
      <c r="AX33" s="29" t="str">
        <f t="shared" si="31"/>
        <v/>
      </c>
      <c r="AY33" s="29" t="str">
        <f t="shared" si="31"/>
        <v/>
      </c>
      <c r="AZ33" s="29" t="str">
        <f t="shared" si="31"/>
        <v/>
      </c>
      <c r="BA33" s="29" t="str">
        <f t="shared" si="31"/>
        <v/>
      </c>
      <c r="BB33" s="29" t="str">
        <f t="shared" si="31"/>
        <v/>
      </c>
      <c r="BC33" s="29" t="str">
        <f t="shared" si="31"/>
        <v/>
      </c>
      <c r="BD33" s="29" t="str">
        <f t="shared" si="31"/>
        <v/>
      </c>
      <c r="BE33" s="29" t="str">
        <f t="shared" si="31"/>
        <v/>
      </c>
      <c r="BF33" s="29" t="str">
        <f t="shared" si="31"/>
        <v/>
      </c>
      <c r="BG33" s="29" t="str">
        <f t="shared" si="31"/>
        <v/>
      </c>
      <c r="BH33" s="29" t="str">
        <f t="shared" si="31"/>
        <v/>
      </c>
      <c r="BI33" s="29" t="str">
        <f t="shared" si="31"/>
        <v/>
      </c>
      <c r="BJ33" s="29" t="str">
        <f t="shared" si="31"/>
        <v/>
      </c>
      <c r="BK33" s="29" t="str">
        <f t="shared" si="31"/>
        <v/>
      </c>
      <c r="BL33" s="29" t="str">
        <f t="shared" si="31"/>
        <v/>
      </c>
      <c r="BM33" s="29" t="str">
        <f t="shared" si="31"/>
        <v/>
      </c>
      <c r="BN33" s="29" t="str">
        <f t="shared" si="31"/>
        <v/>
      </c>
      <c r="BO33" s="29" t="str">
        <f t="shared" ref="BO33:DZ43" si="34">IFERROR(BO$27*(1+$A33)^-BO$6,"")</f>
        <v/>
      </c>
      <c r="BP33" s="29" t="str">
        <f t="shared" si="34"/>
        <v/>
      </c>
      <c r="BQ33" s="29" t="str">
        <f t="shared" si="34"/>
        <v/>
      </c>
      <c r="BR33" s="29" t="str">
        <f t="shared" si="34"/>
        <v/>
      </c>
      <c r="BS33" s="29" t="str">
        <f t="shared" si="34"/>
        <v/>
      </c>
      <c r="BT33" s="29" t="str">
        <f t="shared" si="34"/>
        <v/>
      </c>
      <c r="BU33" s="29" t="str">
        <f t="shared" si="34"/>
        <v/>
      </c>
      <c r="BV33" s="29" t="str">
        <f t="shared" si="34"/>
        <v/>
      </c>
      <c r="BW33" s="29" t="str">
        <f t="shared" si="34"/>
        <v/>
      </c>
      <c r="BX33" s="29" t="str">
        <f t="shared" si="34"/>
        <v/>
      </c>
      <c r="BY33" s="29" t="str">
        <f t="shared" si="34"/>
        <v/>
      </c>
      <c r="BZ33" s="29" t="str">
        <f t="shared" si="34"/>
        <v/>
      </c>
      <c r="CA33" s="29" t="str">
        <f t="shared" si="34"/>
        <v/>
      </c>
      <c r="CB33" s="29" t="str">
        <f t="shared" si="34"/>
        <v/>
      </c>
      <c r="CC33" s="29" t="str">
        <f t="shared" si="34"/>
        <v/>
      </c>
      <c r="CD33" s="29" t="str">
        <f t="shared" si="34"/>
        <v/>
      </c>
      <c r="CE33" s="29" t="str">
        <f t="shared" si="34"/>
        <v/>
      </c>
      <c r="CF33" s="29" t="str">
        <f t="shared" si="34"/>
        <v/>
      </c>
      <c r="CG33" s="29" t="str">
        <f t="shared" si="34"/>
        <v/>
      </c>
      <c r="CH33" s="29" t="str">
        <f t="shared" si="34"/>
        <v/>
      </c>
      <c r="CI33" s="29" t="str">
        <f t="shared" si="34"/>
        <v/>
      </c>
      <c r="CJ33" s="29" t="str">
        <f t="shared" si="34"/>
        <v/>
      </c>
      <c r="CK33" s="29" t="str">
        <f t="shared" si="34"/>
        <v/>
      </c>
      <c r="CL33" s="29" t="str">
        <f t="shared" si="34"/>
        <v/>
      </c>
      <c r="CM33" s="29" t="str">
        <f t="shared" si="34"/>
        <v/>
      </c>
      <c r="CN33" s="29" t="str">
        <f t="shared" si="34"/>
        <v/>
      </c>
      <c r="CO33" s="29" t="str">
        <f t="shared" si="34"/>
        <v/>
      </c>
      <c r="CP33" s="29" t="str">
        <f t="shared" si="34"/>
        <v/>
      </c>
      <c r="CQ33" s="29" t="str">
        <f t="shared" si="34"/>
        <v/>
      </c>
      <c r="CR33" s="29" t="str">
        <f t="shared" si="34"/>
        <v/>
      </c>
      <c r="CS33" s="29" t="str">
        <f t="shared" si="34"/>
        <v/>
      </c>
      <c r="CT33" s="29" t="str">
        <f t="shared" si="34"/>
        <v/>
      </c>
      <c r="CU33" s="29" t="str">
        <f t="shared" si="34"/>
        <v/>
      </c>
      <c r="CV33" s="29" t="str">
        <f t="shared" si="34"/>
        <v/>
      </c>
      <c r="CW33" s="29" t="str">
        <f t="shared" si="34"/>
        <v/>
      </c>
      <c r="CX33" s="29" t="str">
        <f t="shared" si="34"/>
        <v/>
      </c>
      <c r="CY33" s="29" t="str">
        <f t="shared" si="34"/>
        <v/>
      </c>
      <c r="CZ33" s="29" t="str">
        <f t="shared" si="34"/>
        <v/>
      </c>
      <c r="DA33" s="29" t="str">
        <f t="shared" si="34"/>
        <v/>
      </c>
      <c r="DB33" s="29" t="str">
        <f t="shared" si="34"/>
        <v/>
      </c>
      <c r="DC33" s="29" t="str">
        <f t="shared" si="34"/>
        <v/>
      </c>
      <c r="DD33" s="29" t="str">
        <f t="shared" si="34"/>
        <v/>
      </c>
      <c r="DE33" s="29" t="str">
        <f t="shared" si="34"/>
        <v/>
      </c>
      <c r="DF33" s="29" t="str">
        <f t="shared" si="34"/>
        <v/>
      </c>
      <c r="DG33" s="29" t="str">
        <f t="shared" si="34"/>
        <v/>
      </c>
      <c r="DH33" s="29" t="str">
        <f t="shared" si="34"/>
        <v/>
      </c>
      <c r="DI33" s="29" t="str">
        <f t="shared" si="34"/>
        <v/>
      </c>
      <c r="DJ33" s="29" t="str">
        <f t="shared" si="34"/>
        <v/>
      </c>
      <c r="DK33" s="29" t="str">
        <f t="shared" si="34"/>
        <v/>
      </c>
      <c r="DL33" s="29" t="str">
        <f t="shared" si="34"/>
        <v/>
      </c>
      <c r="DM33" s="29" t="str">
        <f t="shared" si="34"/>
        <v/>
      </c>
      <c r="DN33" s="29" t="str">
        <f t="shared" si="34"/>
        <v/>
      </c>
      <c r="DO33" s="29" t="str">
        <f t="shared" si="34"/>
        <v/>
      </c>
      <c r="DP33" s="29" t="str">
        <f t="shared" si="34"/>
        <v/>
      </c>
      <c r="DQ33" s="29" t="str">
        <f t="shared" si="34"/>
        <v/>
      </c>
      <c r="DR33" s="29" t="str">
        <f t="shared" si="34"/>
        <v/>
      </c>
      <c r="DS33" s="29" t="str">
        <f t="shared" si="34"/>
        <v/>
      </c>
      <c r="DT33" s="29" t="str">
        <f t="shared" si="34"/>
        <v/>
      </c>
      <c r="DU33" s="29" t="str">
        <f t="shared" si="34"/>
        <v/>
      </c>
      <c r="DV33" s="29" t="str">
        <f t="shared" si="34"/>
        <v/>
      </c>
      <c r="DW33" s="29" t="str">
        <f t="shared" si="34"/>
        <v/>
      </c>
      <c r="DX33" s="29" t="str">
        <f t="shared" si="34"/>
        <v/>
      </c>
      <c r="DY33" s="29" t="str">
        <f t="shared" si="34"/>
        <v/>
      </c>
      <c r="DZ33" s="29" t="str">
        <f t="shared" si="34"/>
        <v/>
      </c>
      <c r="EA33" s="29" t="str">
        <f t="shared" si="32"/>
        <v/>
      </c>
      <c r="EB33" s="29" t="str">
        <f t="shared" si="32"/>
        <v/>
      </c>
      <c r="EC33" s="29" t="str">
        <f t="shared" si="32"/>
        <v/>
      </c>
      <c r="ED33" s="29" t="str">
        <f t="shared" si="32"/>
        <v/>
      </c>
      <c r="EE33" s="29" t="str">
        <f t="shared" si="32"/>
        <v/>
      </c>
      <c r="EF33" s="29" t="str">
        <f t="shared" si="32"/>
        <v/>
      </c>
      <c r="EG33" s="29" t="str">
        <f t="shared" si="32"/>
        <v/>
      </c>
      <c r="EH33" s="29" t="str">
        <f t="shared" si="32"/>
        <v/>
      </c>
      <c r="EI33" s="29" t="str">
        <f t="shared" si="32"/>
        <v/>
      </c>
      <c r="EJ33" s="29" t="str">
        <f t="shared" si="32"/>
        <v/>
      </c>
      <c r="EK33" s="29" t="str">
        <f t="shared" si="32"/>
        <v/>
      </c>
      <c r="EL33" s="29" t="str">
        <f t="shared" si="32"/>
        <v/>
      </c>
      <c r="EM33" s="29" t="str">
        <f t="shared" si="32"/>
        <v/>
      </c>
      <c r="EN33" s="29" t="str">
        <f t="shared" si="32"/>
        <v/>
      </c>
      <c r="EO33" s="29" t="str">
        <f t="shared" si="32"/>
        <v/>
      </c>
      <c r="EP33" s="29" t="str">
        <f t="shared" si="32"/>
        <v/>
      </c>
      <c r="EQ33" s="29" t="str">
        <f t="shared" si="32"/>
        <v/>
      </c>
      <c r="ER33" s="29" t="str">
        <f t="shared" si="32"/>
        <v/>
      </c>
      <c r="ES33" s="29" t="str">
        <f t="shared" si="32"/>
        <v/>
      </c>
      <c r="ET33" s="29" t="str">
        <f t="shared" si="32"/>
        <v/>
      </c>
      <c r="EU33" s="29" t="str">
        <f t="shared" si="32"/>
        <v/>
      </c>
      <c r="EV33" s="29" t="str">
        <f t="shared" si="32"/>
        <v/>
      </c>
      <c r="EW33" s="29" t="str">
        <f t="shared" si="32"/>
        <v/>
      </c>
      <c r="EX33" s="29" t="str">
        <f t="shared" si="32"/>
        <v/>
      </c>
      <c r="EY33" s="29" t="str">
        <f t="shared" si="32"/>
        <v/>
      </c>
      <c r="EZ33" s="29" t="str">
        <f t="shared" si="32"/>
        <v/>
      </c>
      <c r="FA33" s="29" t="str">
        <f t="shared" si="32"/>
        <v/>
      </c>
      <c r="FB33" s="29" t="str">
        <f t="shared" si="32"/>
        <v/>
      </c>
      <c r="FC33" s="29" t="str">
        <f t="shared" si="32"/>
        <v/>
      </c>
      <c r="FD33" s="29" t="str">
        <f t="shared" si="32"/>
        <v/>
      </c>
      <c r="FE33" s="29" t="str">
        <f t="shared" si="32"/>
        <v/>
      </c>
      <c r="FF33" s="29" t="str">
        <f t="shared" si="32"/>
        <v/>
      </c>
      <c r="FG33" s="29" t="str">
        <f t="shared" si="32"/>
        <v/>
      </c>
      <c r="FH33" s="29" t="str">
        <f t="shared" si="32"/>
        <v/>
      </c>
      <c r="FI33" s="29" t="str">
        <f t="shared" si="32"/>
        <v/>
      </c>
      <c r="FJ33" s="29" t="str">
        <f t="shared" si="32"/>
        <v/>
      </c>
      <c r="FK33" s="29" t="str">
        <f t="shared" si="32"/>
        <v/>
      </c>
      <c r="FL33" s="29" t="str">
        <f t="shared" si="32"/>
        <v/>
      </c>
      <c r="FM33" s="29" t="str">
        <f t="shared" si="32"/>
        <v/>
      </c>
      <c r="FN33" s="29" t="str">
        <f t="shared" si="32"/>
        <v/>
      </c>
      <c r="FO33" s="29" t="str">
        <f t="shared" si="32"/>
        <v/>
      </c>
      <c r="FP33" s="29" t="str">
        <f t="shared" si="32"/>
        <v/>
      </c>
      <c r="FQ33" s="29" t="str">
        <f t="shared" si="32"/>
        <v/>
      </c>
      <c r="FR33" s="29" t="str">
        <f t="shared" si="32"/>
        <v/>
      </c>
      <c r="FS33" s="29" t="str">
        <f t="shared" si="32"/>
        <v/>
      </c>
      <c r="FT33" s="29" t="str">
        <f t="shared" si="32"/>
        <v/>
      </c>
      <c r="FU33" s="29" t="str">
        <f t="shared" si="32"/>
        <v/>
      </c>
      <c r="FV33" s="29" t="str">
        <f t="shared" si="32"/>
        <v/>
      </c>
      <c r="FW33" s="29" t="str">
        <f t="shared" si="32"/>
        <v/>
      </c>
      <c r="FX33" s="29" t="str">
        <f t="shared" si="32"/>
        <v/>
      </c>
      <c r="FY33" s="29" t="str">
        <f t="shared" si="32"/>
        <v/>
      </c>
      <c r="FZ33" s="29" t="str">
        <f t="shared" si="32"/>
        <v/>
      </c>
      <c r="GA33" s="29" t="str">
        <f t="shared" si="32"/>
        <v/>
      </c>
      <c r="GB33" s="29" t="str">
        <f t="shared" si="32"/>
        <v/>
      </c>
      <c r="GC33" s="29" t="str">
        <f t="shared" si="32"/>
        <v/>
      </c>
      <c r="GD33" s="29" t="str">
        <f t="shared" si="32"/>
        <v/>
      </c>
      <c r="GE33" s="29" t="str">
        <f t="shared" si="32"/>
        <v/>
      </c>
      <c r="GF33" s="29" t="str">
        <f t="shared" si="32"/>
        <v/>
      </c>
      <c r="GG33" s="29" t="str">
        <f t="shared" si="32"/>
        <v/>
      </c>
      <c r="GH33" s="29" t="str">
        <f t="shared" si="32"/>
        <v/>
      </c>
      <c r="GI33" s="29" t="str">
        <f t="shared" si="32"/>
        <v/>
      </c>
      <c r="GJ33" s="29" t="str">
        <f t="shared" si="32"/>
        <v/>
      </c>
      <c r="GK33" s="29" t="str">
        <f t="shared" si="32"/>
        <v/>
      </c>
      <c r="GL33" s="29" t="str">
        <f t="shared" si="27"/>
        <v/>
      </c>
      <c r="GM33" s="29" t="str">
        <f t="shared" ref="GM33:IX37" si="35">IFERROR(GM$27*(1+$A33)^-GM$6,"")</f>
        <v/>
      </c>
      <c r="GN33" s="29" t="str">
        <f t="shared" si="35"/>
        <v/>
      </c>
      <c r="GO33" s="29" t="str">
        <f t="shared" si="35"/>
        <v/>
      </c>
      <c r="GP33" s="29" t="str">
        <f t="shared" si="35"/>
        <v/>
      </c>
      <c r="GQ33" s="29" t="str">
        <f t="shared" si="35"/>
        <v/>
      </c>
      <c r="GR33" s="29" t="str">
        <f t="shared" si="35"/>
        <v/>
      </c>
      <c r="GS33" s="29" t="str">
        <f t="shared" si="35"/>
        <v/>
      </c>
      <c r="GT33" s="29" t="str">
        <f t="shared" si="35"/>
        <v/>
      </c>
      <c r="GU33" s="29" t="str">
        <f t="shared" si="35"/>
        <v/>
      </c>
      <c r="GV33" s="29" t="str">
        <f t="shared" si="35"/>
        <v/>
      </c>
      <c r="GW33" s="29" t="str">
        <f t="shared" si="35"/>
        <v/>
      </c>
      <c r="GX33" s="29" t="str">
        <f t="shared" si="35"/>
        <v/>
      </c>
      <c r="GY33" s="29" t="str">
        <f t="shared" si="35"/>
        <v/>
      </c>
      <c r="GZ33" s="29" t="str">
        <f t="shared" si="35"/>
        <v/>
      </c>
      <c r="HA33" s="29" t="str">
        <f t="shared" si="35"/>
        <v/>
      </c>
      <c r="HB33" s="29" t="str">
        <f t="shared" si="35"/>
        <v/>
      </c>
      <c r="HC33" s="29" t="str">
        <f t="shared" si="35"/>
        <v/>
      </c>
      <c r="HD33" s="29" t="str">
        <f t="shared" si="35"/>
        <v/>
      </c>
      <c r="HE33" s="29" t="str">
        <f t="shared" si="35"/>
        <v/>
      </c>
      <c r="HF33" s="29" t="str">
        <f t="shared" si="35"/>
        <v/>
      </c>
      <c r="HG33" s="29" t="str">
        <f t="shared" si="35"/>
        <v/>
      </c>
      <c r="HH33" s="29" t="str">
        <f t="shared" si="35"/>
        <v/>
      </c>
      <c r="HI33" s="29" t="str">
        <f t="shared" si="35"/>
        <v/>
      </c>
      <c r="HJ33" s="29" t="str">
        <f t="shared" si="35"/>
        <v/>
      </c>
      <c r="HK33" s="29" t="str">
        <f t="shared" si="35"/>
        <v/>
      </c>
      <c r="HL33" s="29" t="str">
        <f t="shared" si="35"/>
        <v/>
      </c>
      <c r="HM33" s="29" t="str">
        <f t="shared" si="35"/>
        <v/>
      </c>
      <c r="HN33" s="29" t="str">
        <f t="shared" si="35"/>
        <v/>
      </c>
      <c r="HO33" s="29" t="str">
        <f t="shared" si="35"/>
        <v/>
      </c>
      <c r="HP33" s="29" t="str">
        <f t="shared" si="35"/>
        <v/>
      </c>
      <c r="HQ33" s="29" t="str">
        <f t="shared" si="35"/>
        <v/>
      </c>
      <c r="HR33" s="29" t="str">
        <f t="shared" si="35"/>
        <v/>
      </c>
      <c r="HS33" s="29" t="str">
        <f t="shared" si="35"/>
        <v/>
      </c>
      <c r="HT33" s="29" t="str">
        <f t="shared" si="35"/>
        <v/>
      </c>
      <c r="HU33" s="29" t="str">
        <f t="shared" si="35"/>
        <v/>
      </c>
      <c r="HV33" s="29" t="str">
        <f t="shared" si="35"/>
        <v/>
      </c>
      <c r="HW33" s="29" t="str">
        <f t="shared" si="35"/>
        <v/>
      </c>
      <c r="HX33" s="29" t="str">
        <f t="shared" si="35"/>
        <v/>
      </c>
      <c r="HY33" s="29" t="str">
        <f t="shared" si="35"/>
        <v/>
      </c>
      <c r="HZ33" s="29" t="str">
        <f t="shared" si="35"/>
        <v/>
      </c>
      <c r="IA33" s="29" t="str">
        <f t="shared" si="35"/>
        <v/>
      </c>
      <c r="IB33" s="29" t="str">
        <f t="shared" si="35"/>
        <v/>
      </c>
      <c r="IC33" s="29" t="str">
        <f t="shared" si="35"/>
        <v/>
      </c>
      <c r="ID33" s="29" t="str">
        <f t="shared" si="35"/>
        <v/>
      </c>
      <c r="IE33" s="29" t="str">
        <f t="shared" si="35"/>
        <v/>
      </c>
      <c r="IF33" s="29" t="str">
        <f t="shared" si="35"/>
        <v/>
      </c>
      <c r="IG33" s="29" t="str">
        <f t="shared" si="35"/>
        <v/>
      </c>
      <c r="IH33" s="29" t="str">
        <f t="shared" si="35"/>
        <v/>
      </c>
      <c r="II33" s="29" t="str">
        <f t="shared" si="35"/>
        <v/>
      </c>
      <c r="IJ33" s="29" t="str">
        <f t="shared" si="35"/>
        <v/>
      </c>
      <c r="IK33" s="29" t="str">
        <f t="shared" si="35"/>
        <v/>
      </c>
      <c r="IL33" s="29" t="str">
        <f t="shared" si="35"/>
        <v/>
      </c>
      <c r="IM33" s="29" t="str">
        <f t="shared" si="35"/>
        <v/>
      </c>
      <c r="IN33" s="29" t="str">
        <f t="shared" si="35"/>
        <v/>
      </c>
      <c r="IO33" s="29" t="str">
        <f t="shared" si="35"/>
        <v/>
      </c>
      <c r="IP33" s="29" t="str">
        <f t="shared" si="35"/>
        <v/>
      </c>
      <c r="IQ33" s="29" t="str">
        <f t="shared" si="35"/>
        <v/>
      </c>
      <c r="IR33" s="29" t="str">
        <f t="shared" si="35"/>
        <v/>
      </c>
      <c r="IS33" s="29" t="str">
        <f t="shared" si="35"/>
        <v/>
      </c>
      <c r="IT33" s="29" t="str">
        <f t="shared" si="35"/>
        <v/>
      </c>
      <c r="IU33" s="29" t="str">
        <f t="shared" si="35"/>
        <v/>
      </c>
      <c r="IV33" s="29" t="str">
        <f t="shared" si="35"/>
        <v/>
      </c>
      <c r="IW33" s="29" t="str">
        <f t="shared" si="35"/>
        <v/>
      </c>
      <c r="IX33" s="29" t="str">
        <f t="shared" si="35"/>
        <v/>
      </c>
      <c r="IY33" s="29" t="str">
        <f t="shared" si="33"/>
        <v/>
      </c>
      <c r="IZ33" s="29" t="str">
        <f t="shared" si="33"/>
        <v/>
      </c>
      <c r="JA33" s="29" t="str">
        <f t="shared" si="33"/>
        <v/>
      </c>
      <c r="JB33" s="29" t="str">
        <f t="shared" si="33"/>
        <v/>
      </c>
      <c r="JC33" s="29" t="str">
        <f t="shared" si="33"/>
        <v/>
      </c>
      <c r="JD33" s="29" t="str">
        <f t="shared" si="33"/>
        <v/>
      </c>
      <c r="JE33" s="29" t="str">
        <f t="shared" si="33"/>
        <v/>
      </c>
      <c r="JF33" s="29" t="str">
        <f t="shared" si="33"/>
        <v/>
      </c>
      <c r="JG33" s="29" t="str">
        <f t="shared" si="33"/>
        <v/>
      </c>
      <c r="JH33" s="29" t="str">
        <f t="shared" si="33"/>
        <v/>
      </c>
      <c r="JI33" s="29" t="str">
        <f t="shared" si="33"/>
        <v/>
      </c>
      <c r="JJ33" s="29" t="str">
        <f t="shared" si="33"/>
        <v/>
      </c>
      <c r="JK33" s="29" t="str">
        <f t="shared" si="33"/>
        <v/>
      </c>
      <c r="JL33" s="29" t="str">
        <f t="shared" si="33"/>
        <v/>
      </c>
      <c r="JM33" s="29" t="str">
        <f t="shared" si="33"/>
        <v/>
      </c>
      <c r="JN33" s="29" t="str">
        <f t="shared" si="33"/>
        <v/>
      </c>
      <c r="JO33" s="29" t="str">
        <f t="shared" si="33"/>
        <v/>
      </c>
      <c r="JP33" s="29" t="str">
        <f t="shared" si="33"/>
        <v/>
      </c>
      <c r="JQ33" s="29" t="str">
        <f t="shared" si="33"/>
        <v/>
      </c>
      <c r="JR33" s="29" t="str">
        <f t="shared" si="33"/>
        <v/>
      </c>
      <c r="JS33" s="29" t="str">
        <f t="shared" si="33"/>
        <v/>
      </c>
      <c r="JT33" s="29" t="str">
        <f t="shared" si="33"/>
        <v/>
      </c>
      <c r="JU33" s="29" t="str">
        <f t="shared" si="33"/>
        <v/>
      </c>
      <c r="JV33" s="29" t="str">
        <f t="shared" si="33"/>
        <v/>
      </c>
      <c r="JW33" s="29" t="str">
        <f t="shared" si="33"/>
        <v/>
      </c>
      <c r="JX33" s="29" t="str">
        <f t="shared" si="33"/>
        <v/>
      </c>
      <c r="JY33" s="29" t="str">
        <f t="shared" si="33"/>
        <v/>
      </c>
      <c r="JZ33" s="29" t="str">
        <f t="shared" si="33"/>
        <v/>
      </c>
      <c r="KA33" s="29" t="str">
        <f t="shared" si="33"/>
        <v/>
      </c>
      <c r="KB33" s="29" t="str">
        <f t="shared" si="33"/>
        <v/>
      </c>
      <c r="KC33" s="29" t="str">
        <f t="shared" si="33"/>
        <v/>
      </c>
      <c r="KD33" s="29" t="str">
        <f t="shared" si="33"/>
        <v/>
      </c>
      <c r="KE33" s="29" t="str">
        <f t="shared" si="33"/>
        <v/>
      </c>
      <c r="KF33" s="29" t="str">
        <f t="shared" si="33"/>
        <v/>
      </c>
      <c r="KG33" s="29" t="str">
        <f t="shared" si="33"/>
        <v/>
      </c>
      <c r="KH33" s="29" t="str">
        <f t="shared" si="33"/>
        <v/>
      </c>
      <c r="KI33" s="29" t="str">
        <f t="shared" si="33"/>
        <v/>
      </c>
      <c r="KJ33" s="29" t="str">
        <f t="shared" si="33"/>
        <v/>
      </c>
      <c r="KK33" s="29" t="str">
        <f t="shared" si="33"/>
        <v/>
      </c>
      <c r="KL33" s="29" t="str">
        <f t="shared" si="33"/>
        <v/>
      </c>
      <c r="KM33" s="29" t="str">
        <f t="shared" si="33"/>
        <v/>
      </c>
      <c r="KN33" s="29" t="str">
        <f t="shared" si="33"/>
        <v/>
      </c>
      <c r="KO33" s="29" t="str">
        <f t="shared" si="33"/>
        <v/>
      </c>
      <c r="KP33" s="29" t="str">
        <f t="shared" si="29"/>
        <v/>
      </c>
    </row>
    <row r="34" spans="1:302" customFormat="1" hidden="1" outlineLevel="1" x14ac:dyDescent="0.2">
      <c r="A34" s="33">
        <f>WACC</f>
        <v>0</v>
      </c>
      <c r="B34" s="29" t="str">
        <f t="shared" si="30"/>
        <v/>
      </c>
      <c r="C34" s="29" t="str">
        <f t="shared" si="31"/>
        <v/>
      </c>
      <c r="D34" s="29" t="str">
        <f t="shared" si="31"/>
        <v/>
      </c>
      <c r="E34" s="29" t="str">
        <f t="shared" si="31"/>
        <v/>
      </c>
      <c r="F34" s="29" t="str">
        <f t="shared" si="31"/>
        <v/>
      </c>
      <c r="G34" s="29" t="str">
        <f t="shared" si="31"/>
        <v/>
      </c>
      <c r="H34" s="29" t="str">
        <f t="shared" si="31"/>
        <v/>
      </c>
      <c r="I34" s="29" t="str">
        <f t="shared" si="31"/>
        <v/>
      </c>
      <c r="J34" s="29" t="str">
        <f t="shared" si="31"/>
        <v/>
      </c>
      <c r="K34" s="29" t="str">
        <f t="shared" si="31"/>
        <v/>
      </c>
      <c r="L34" s="29" t="str">
        <f t="shared" si="31"/>
        <v/>
      </c>
      <c r="M34" s="29" t="str">
        <f t="shared" si="31"/>
        <v/>
      </c>
      <c r="N34" s="29" t="str">
        <f t="shared" si="31"/>
        <v/>
      </c>
      <c r="O34" s="29" t="str">
        <f t="shared" si="31"/>
        <v/>
      </c>
      <c r="P34" s="29" t="str">
        <f t="shared" si="31"/>
        <v/>
      </c>
      <c r="Q34" s="29" t="str">
        <f t="shared" si="31"/>
        <v/>
      </c>
      <c r="R34" s="29" t="str">
        <f t="shared" si="31"/>
        <v/>
      </c>
      <c r="S34" s="29" t="str">
        <f t="shared" si="31"/>
        <v/>
      </c>
      <c r="T34" s="29" t="str">
        <f t="shared" si="31"/>
        <v/>
      </c>
      <c r="U34" s="29" t="str">
        <f t="shared" si="31"/>
        <v/>
      </c>
      <c r="V34" s="29" t="str">
        <f t="shared" si="31"/>
        <v/>
      </c>
      <c r="W34" s="29" t="str">
        <f t="shared" si="31"/>
        <v/>
      </c>
      <c r="X34" s="29" t="str">
        <f t="shared" si="31"/>
        <v/>
      </c>
      <c r="Y34" s="29" t="str">
        <f t="shared" si="31"/>
        <v/>
      </c>
      <c r="Z34" s="29" t="str">
        <f t="shared" si="31"/>
        <v/>
      </c>
      <c r="AA34" s="29" t="str">
        <f t="shared" si="31"/>
        <v/>
      </c>
      <c r="AB34" s="29" t="str">
        <f t="shared" si="31"/>
        <v/>
      </c>
      <c r="AC34" s="29" t="str">
        <f t="shared" si="31"/>
        <v/>
      </c>
      <c r="AD34" s="29" t="str">
        <f t="shared" si="31"/>
        <v/>
      </c>
      <c r="AE34" s="29" t="str">
        <f t="shared" si="31"/>
        <v/>
      </c>
      <c r="AF34" s="29" t="str">
        <f t="shared" si="31"/>
        <v/>
      </c>
      <c r="AG34" s="29" t="str">
        <f t="shared" si="31"/>
        <v/>
      </c>
      <c r="AH34" s="29" t="str">
        <f t="shared" si="31"/>
        <v/>
      </c>
      <c r="AI34" s="29" t="str">
        <f t="shared" si="31"/>
        <v/>
      </c>
      <c r="AJ34" s="29" t="str">
        <f t="shared" si="31"/>
        <v/>
      </c>
      <c r="AK34" s="29" t="str">
        <f t="shared" si="31"/>
        <v/>
      </c>
      <c r="AL34" s="29" t="str">
        <f t="shared" si="31"/>
        <v/>
      </c>
      <c r="AM34" s="29" t="str">
        <f t="shared" si="31"/>
        <v/>
      </c>
      <c r="AN34" s="29" t="str">
        <f t="shared" si="31"/>
        <v/>
      </c>
      <c r="AO34" s="29" t="str">
        <f t="shared" si="31"/>
        <v/>
      </c>
      <c r="AP34" s="29" t="str">
        <f t="shared" si="31"/>
        <v/>
      </c>
      <c r="AQ34" s="29" t="str">
        <f t="shared" si="31"/>
        <v/>
      </c>
      <c r="AR34" s="29" t="str">
        <f t="shared" si="31"/>
        <v/>
      </c>
      <c r="AS34" s="29" t="str">
        <f t="shared" si="31"/>
        <v/>
      </c>
      <c r="AT34" s="29" t="str">
        <f t="shared" si="31"/>
        <v/>
      </c>
      <c r="AU34" s="29" t="str">
        <f t="shared" si="31"/>
        <v/>
      </c>
      <c r="AV34" s="29" t="str">
        <f t="shared" si="31"/>
        <v/>
      </c>
      <c r="AW34" s="29" t="str">
        <f t="shared" si="31"/>
        <v/>
      </c>
      <c r="AX34" s="29" t="str">
        <f t="shared" si="31"/>
        <v/>
      </c>
      <c r="AY34" s="29" t="str">
        <f t="shared" si="31"/>
        <v/>
      </c>
      <c r="AZ34" s="29" t="str">
        <f t="shared" si="31"/>
        <v/>
      </c>
      <c r="BA34" s="29" t="str">
        <f t="shared" si="31"/>
        <v/>
      </c>
      <c r="BB34" s="29" t="str">
        <f t="shared" si="31"/>
        <v/>
      </c>
      <c r="BC34" s="29" t="str">
        <f t="shared" si="31"/>
        <v/>
      </c>
      <c r="BD34" s="29" t="str">
        <f t="shared" si="31"/>
        <v/>
      </c>
      <c r="BE34" s="29" t="str">
        <f t="shared" si="31"/>
        <v/>
      </c>
      <c r="BF34" s="29" t="str">
        <f t="shared" si="31"/>
        <v/>
      </c>
      <c r="BG34" s="29" t="str">
        <f t="shared" si="31"/>
        <v/>
      </c>
      <c r="BH34" s="29" t="str">
        <f t="shared" si="31"/>
        <v/>
      </c>
      <c r="BI34" s="29" t="str">
        <f t="shared" si="31"/>
        <v/>
      </c>
      <c r="BJ34" s="29" t="str">
        <f t="shared" si="31"/>
        <v/>
      </c>
      <c r="BK34" s="29" t="str">
        <f t="shared" si="31"/>
        <v/>
      </c>
      <c r="BL34" s="29" t="str">
        <f t="shared" si="31"/>
        <v/>
      </c>
      <c r="BM34" s="29" t="str">
        <f t="shared" si="31"/>
        <v/>
      </c>
      <c r="BN34" s="29" t="str">
        <f t="shared" ref="BN34:DY37" si="36">IFERROR(BN$27*(1+$A34)^-BN$6,"")</f>
        <v/>
      </c>
      <c r="BO34" s="29" t="str">
        <f t="shared" si="36"/>
        <v/>
      </c>
      <c r="BP34" s="29" t="str">
        <f t="shared" si="36"/>
        <v/>
      </c>
      <c r="BQ34" s="29" t="str">
        <f t="shared" si="36"/>
        <v/>
      </c>
      <c r="BR34" s="29" t="str">
        <f t="shared" si="36"/>
        <v/>
      </c>
      <c r="BS34" s="29" t="str">
        <f t="shared" si="36"/>
        <v/>
      </c>
      <c r="BT34" s="29" t="str">
        <f t="shared" si="36"/>
        <v/>
      </c>
      <c r="BU34" s="29" t="str">
        <f t="shared" si="36"/>
        <v/>
      </c>
      <c r="BV34" s="29" t="str">
        <f t="shared" si="36"/>
        <v/>
      </c>
      <c r="BW34" s="29" t="str">
        <f t="shared" si="36"/>
        <v/>
      </c>
      <c r="BX34" s="29" t="str">
        <f t="shared" si="36"/>
        <v/>
      </c>
      <c r="BY34" s="29" t="str">
        <f t="shared" si="36"/>
        <v/>
      </c>
      <c r="BZ34" s="29" t="str">
        <f t="shared" si="36"/>
        <v/>
      </c>
      <c r="CA34" s="29" t="str">
        <f t="shared" si="36"/>
        <v/>
      </c>
      <c r="CB34" s="29" t="str">
        <f t="shared" si="36"/>
        <v/>
      </c>
      <c r="CC34" s="29" t="str">
        <f t="shared" si="36"/>
        <v/>
      </c>
      <c r="CD34" s="29" t="str">
        <f t="shared" si="36"/>
        <v/>
      </c>
      <c r="CE34" s="29" t="str">
        <f t="shared" si="36"/>
        <v/>
      </c>
      <c r="CF34" s="29" t="str">
        <f t="shared" si="36"/>
        <v/>
      </c>
      <c r="CG34" s="29" t="str">
        <f t="shared" si="36"/>
        <v/>
      </c>
      <c r="CH34" s="29" t="str">
        <f t="shared" si="36"/>
        <v/>
      </c>
      <c r="CI34" s="29" t="str">
        <f t="shared" si="36"/>
        <v/>
      </c>
      <c r="CJ34" s="29" t="str">
        <f t="shared" si="36"/>
        <v/>
      </c>
      <c r="CK34" s="29" t="str">
        <f t="shared" si="36"/>
        <v/>
      </c>
      <c r="CL34" s="29" t="str">
        <f t="shared" si="36"/>
        <v/>
      </c>
      <c r="CM34" s="29" t="str">
        <f t="shared" si="36"/>
        <v/>
      </c>
      <c r="CN34" s="29" t="str">
        <f t="shared" si="36"/>
        <v/>
      </c>
      <c r="CO34" s="29" t="str">
        <f t="shared" si="36"/>
        <v/>
      </c>
      <c r="CP34" s="29" t="str">
        <f t="shared" si="36"/>
        <v/>
      </c>
      <c r="CQ34" s="29" t="str">
        <f t="shared" si="36"/>
        <v/>
      </c>
      <c r="CR34" s="29" t="str">
        <f t="shared" si="36"/>
        <v/>
      </c>
      <c r="CS34" s="29" t="str">
        <f t="shared" si="36"/>
        <v/>
      </c>
      <c r="CT34" s="29" t="str">
        <f t="shared" si="36"/>
        <v/>
      </c>
      <c r="CU34" s="29" t="str">
        <f t="shared" si="36"/>
        <v/>
      </c>
      <c r="CV34" s="29" t="str">
        <f t="shared" si="36"/>
        <v/>
      </c>
      <c r="CW34" s="29" t="str">
        <f t="shared" si="36"/>
        <v/>
      </c>
      <c r="CX34" s="29" t="str">
        <f t="shared" si="36"/>
        <v/>
      </c>
      <c r="CY34" s="29" t="str">
        <f t="shared" si="36"/>
        <v/>
      </c>
      <c r="CZ34" s="29" t="str">
        <f t="shared" si="36"/>
        <v/>
      </c>
      <c r="DA34" s="29" t="str">
        <f t="shared" si="36"/>
        <v/>
      </c>
      <c r="DB34" s="29" t="str">
        <f t="shared" si="36"/>
        <v/>
      </c>
      <c r="DC34" s="29" t="str">
        <f t="shared" si="36"/>
        <v/>
      </c>
      <c r="DD34" s="29" t="str">
        <f t="shared" si="36"/>
        <v/>
      </c>
      <c r="DE34" s="29" t="str">
        <f t="shared" si="36"/>
        <v/>
      </c>
      <c r="DF34" s="29" t="str">
        <f t="shared" si="36"/>
        <v/>
      </c>
      <c r="DG34" s="29" t="str">
        <f t="shared" si="36"/>
        <v/>
      </c>
      <c r="DH34" s="29" t="str">
        <f t="shared" si="36"/>
        <v/>
      </c>
      <c r="DI34" s="29" t="str">
        <f t="shared" si="36"/>
        <v/>
      </c>
      <c r="DJ34" s="29" t="str">
        <f t="shared" si="36"/>
        <v/>
      </c>
      <c r="DK34" s="29" t="str">
        <f t="shared" si="36"/>
        <v/>
      </c>
      <c r="DL34" s="29" t="str">
        <f t="shared" si="36"/>
        <v/>
      </c>
      <c r="DM34" s="29" t="str">
        <f t="shared" si="36"/>
        <v/>
      </c>
      <c r="DN34" s="29" t="str">
        <f t="shared" si="36"/>
        <v/>
      </c>
      <c r="DO34" s="29" t="str">
        <f t="shared" si="36"/>
        <v/>
      </c>
      <c r="DP34" s="29" t="str">
        <f t="shared" si="36"/>
        <v/>
      </c>
      <c r="DQ34" s="29" t="str">
        <f t="shared" si="36"/>
        <v/>
      </c>
      <c r="DR34" s="29" t="str">
        <f t="shared" si="36"/>
        <v/>
      </c>
      <c r="DS34" s="29" t="str">
        <f t="shared" si="36"/>
        <v/>
      </c>
      <c r="DT34" s="29" t="str">
        <f t="shared" si="36"/>
        <v/>
      </c>
      <c r="DU34" s="29" t="str">
        <f t="shared" si="36"/>
        <v/>
      </c>
      <c r="DV34" s="29" t="str">
        <f t="shared" si="36"/>
        <v/>
      </c>
      <c r="DW34" s="29" t="str">
        <f t="shared" si="36"/>
        <v/>
      </c>
      <c r="DX34" s="29" t="str">
        <f t="shared" si="36"/>
        <v/>
      </c>
      <c r="DY34" s="29" t="str">
        <f t="shared" si="36"/>
        <v/>
      </c>
      <c r="DZ34" s="29" t="str">
        <f t="shared" si="34"/>
        <v/>
      </c>
      <c r="EA34" s="29" t="str">
        <f t="shared" si="32"/>
        <v/>
      </c>
      <c r="EB34" s="29" t="str">
        <f t="shared" si="32"/>
        <v/>
      </c>
      <c r="EC34" s="29" t="str">
        <f t="shared" si="32"/>
        <v/>
      </c>
      <c r="ED34" s="29" t="str">
        <f t="shared" si="32"/>
        <v/>
      </c>
      <c r="EE34" s="29" t="str">
        <f t="shared" si="32"/>
        <v/>
      </c>
      <c r="EF34" s="29" t="str">
        <f t="shared" si="32"/>
        <v/>
      </c>
      <c r="EG34" s="29" t="str">
        <f t="shared" si="32"/>
        <v/>
      </c>
      <c r="EH34" s="29" t="str">
        <f t="shared" si="32"/>
        <v/>
      </c>
      <c r="EI34" s="29" t="str">
        <f t="shared" si="32"/>
        <v/>
      </c>
      <c r="EJ34" s="29" t="str">
        <f t="shared" si="32"/>
        <v/>
      </c>
      <c r="EK34" s="29" t="str">
        <f t="shared" si="32"/>
        <v/>
      </c>
      <c r="EL34" s="29" t="str">
        <f t="shared" si="32"/>
        <v/>
      </c>
      <c r="EM34" s="29" t="str">
        <f t="shared" si="32"/>
        <v/>
      </c>
      <c r="EN34" s="29" t="str">
        <f t="shared" si="32"/>
        <v/>
      </c>
      <c r="EO34" s="29" t="str">
        <f t="shared" si="32"/>
        <v/>
      </c>
      <c r="EP34" s="29" t="str">
        <f t="shared" si="32"/>
        <v/>
      </c>
      <c r="EQ34" s="29" t="str">
        <f t="shared" si="32"/>
        <v/>
      </c>
      <c r="ER34" s="29" t="str">
        <f t="shared" si="32"/>
        <v/>
      </c>
      <c r="ES34" s="29" t="str">
        <f t="shared" si="32"/>
        <v/>
      </c>
      <c r="ET34" s="29" t="str">
        <f t="shared" si="32"/>
        <v/>
      </c>
      <c r="EU34" s="29" t="str">
        <f t="shared" si="32"/>
        <v/>
      </c>
      <c r="EV34" s="29" t="str">
        <f t="shared" si="32"/>
        <v/>
      </c>
      <c r="EW34" s="29" t="str">
        <f t="shared" si="32"/>
        <v/>
      </c>
      <c r="EX34" s="29" t="str">
        <f t="shared" si="32"/>
        <v/>
      </c>
      <c r="EY34" s="29" t="str">
        <f t="shared" si="32"/>
        <v/>
      </c>
      <c r="EZ34" s="29" t="str">
        <f t="shared" si="32"/>
        <v/>
      </c>
      <c r="FA34" s="29" t="str">
        <f t="shared" si="32"/>
        <v/>
      </c>
      <c r="FB34" s="29" t="str">
        <f t="shared" si="32"/>
        <v/>
      </c>
      <c r="FC34" s="29" t="str">
        <f t="shared" si="32"/>
        <v/>
      </c>
      <c r="FD34" s="29" t="str">
        <f t="shared" si="32"/>
        <v/>
      </c>
      <c r="FE34" s="29" t="str">
        <f t="shared" si="32"/>
        <v/>
      </c>
      <c r="FF34" s="29" t="str">
        <f t="shared" si="32"/>
        <v/>
      </c>
      <c r="FG34" s="29" t="str">
        <f t="shared" si="32"/>
        <v/>
      </c>
      <c r="FH34" s="29" t="str">
        <f t="shared" si="32"/>
        <v/>
      </c>
      <c r="FI34" s="29" t="str">
        <f t="shared" si="32"/>
        <v/>
      </c>
      <c r="FJ34" s="29" t="str">
        <f t="shared" si="32"/>
        <v/>
      </c>
      <c r="FK34" s="29" t="str">
        <f t="shared" si="32"/>
        <v/>
      </c>
      <c r="FL34" s="29" t="str">
        <f t="shared" si="32"/>
        <v/>
      </c>
      <c r="FM34" s="29" t="str">
        <f t="shared" si="32"/>
        <v/>
      </c>
      <c r="FN34" s="29" t="str">
        <f t="shared" si="32"/>
        <v/>
      </c>
      <c r="FO34" s="29" t="str">
        <f t="shared" si="32"/>
        <v/>
      </c>
      <c r="FP34" s="29" t="str">
        <f t="shared" si="32"/>
        <v/>
      </c>
      <c r="FQ34" s="29" t="str">
        <f t="shared" si="32"/>
        <v/>
      </c>
      <c r="FR34" s="29" t="str">
        <f t="shared" si="32"/>
        <v/>
      </c>
      <c r="FS34" s="29" t="str">
        <f t="shared" si="32"/>
        <v/>
      </c>
      <c r="FT34" s="29" t="str">
        <f t="shared" si="32"/>
        <v/>
      </c>
      <c r="FU34" s="29" t="str">
        <f t="shared" si="32"/>
        <v/>
      </c>
      <c r="FV34" s="29" t="str">
        <f t="shared" si="32"/>
        <v/>
      </c>
      <c r="FW34" s="29" t="str">
        <f t="shared" si="32"/>
        <v/>
      </c>
      <c r="FX34" s="29" t="str">
        <f t="shared" si="32"/>
        <v/>
      </c>
      <c r="FY34" s="29" t="str">
        <f t="shared" si="32"/>
        <v/>
      </c>
      <c r="FZ34" s="29" t="str">
        <f t="shared" si="32"/>
        <v/>
      </c>
      <c r="GA34" s="29" t="str">
        <f t="shared" si="32"/>
        <v/>
      </c>
      <c r="GB34" s="29" t="str">
        <f t="shared" si="32"/>
        <v/>
      </c>
      <c r="GC34" s="29" t="str">
        <f t="shared" si="32"/>
        <v/>
      </c>
      <c r="GD34" s="29" t="str">
        <f t="shared" si="32"/>
        <v/>
      </c>
      <c r="GE34" s="29" t="str">
        <f t="shared" si="32"/>
        <v/>
      </c>
      <c r="GF34" s="29" t="str">
        <f t="shared" si="32"/>
        <v/>
      </c>
      <c r="GG34" s="29" t="str">
        <f t="shared" si="32"/>
        <v/>
      </c>
      <c r="GH34" s="29" t="str">
        <f t="shared" si="32"/>
        <v/>
      </c>
      <c r="GI34" s="29" t="str">
        <f t="shared" si="32"/>
        <v/>
      </c>
      <c r="GJ34" s="29" t="str">
        <f t="shared" si="32"/>
        <v/>
      </c>
      <c r="GK34" s="29" t="str">
        <f t="shared" si="32"/>
        <v/>
      </c>
      <c r="GL34" s="29" t="str">
        <f t="shared" si="27"/>
        <v/>
      </c>
      <c r="GM34" s="29" t="str">
        <f t="shared" si="35"/>
        <v/>
      </c>
      <c r="GN34" s="29" t="str">
        <f t="shared" si="35"/>
        <v/>
      </c>
      <c r="GO34" s="29" t="str">
        <f t="shared" si="35"/>
        <v/>
      </c>
      <c r="GP34" s="29" t="str">
        <f t="shared" si="35"/>
        <v/>
      </c>
      <c r="GQ34" s="29" t="str">
        <f t="shared" si="35"/>
        <v/>
      </c>
      <c r="GR34" s="29" t="str">
        <f t="shared" si="35"/>
        <v/>
      </c>
      <c r="GS34" s="29" t="str">
        <f t="shared" si="35"/>
        <v/>
      </c>
      <c r="GT34" s="29" t="str">
        <f t="shared" si="35"/>
        <v/>
      </c>
      <c r="GU34" s="29" t="str">
        <f t="shared" si="35"/>
        <v/>
      </c>
      <c r="GV34" s="29" t="str">
        <f t="shared" si="35"/>
        <v/>
      </c>
      <c r="GW34" s="29" t="str">
        <f t="shared" si="35"/>
        <v/>
      </c>
      <c r="GX34" s="29" t="str">
        <f t="shared" si="35"/>
        <v/>
      </c>
      <c r="GY34" s="29" t="str">
        <f t="shared" si="35"/>
        <v/>
      </c>
      <c r="GZ34" s="29" t="str">
        <f t="shared" si="35"/>
        <v/>
      </c>
      <c r="HA34" s="29" t="str">
        <f t="shared" si="35"/>
        <v/>
      </c>
      <c r="HB34" s="29" t="str">
        <f t="shared" si="35"/>
        <v/>
      </c>
      <c r="HC34" s="29" t="str">
        <f t="shared" si="35"/>
        <v/>
      </c>
      <c r="HD34" s="29" t="str">
        <f t="shared" si="35"/>
        <v/>
      </c>
      <c r="HE34" s="29" t="str">
        <f t="shared" si="35"/>
        <v/>
      </c>
      <c r="HF34" s="29" t="str">
        <f t="shared" si="35"/>
        <v/>
      </c>
      <c r="HG34" s="29" t="str">
        <f t="shared" si="35"/>
        <v/>
      </c>
      <c r="HH34" s="29" t="str">
        <f t="shared" si="35"/>
        <v/>
      </c>
      <c r="HI34" s="29" t="str">
        <f t="shared" si="35"/>
        <v/>
      </c>
      <c r="HJ34" s="29" t="str">
        <f t="shared" si="35"/>
        <v/>
      </c>
      <c r="HK34" s="29" t="str">
        <f t="shared" si="35"/>
        <v/>
      </c>
      <c r="HL34" s="29" t="str">
        <f t="shared" si="35"/>
        <v/>
      </c>
      <c r="HM34" s="29" t="str">
        <f t="shared" si="35"/>
        <v/>
      </c>
      <c r="HN34" s="29" t="str">
        <f t="shared" si="35"/>
        <v/>
      </c>
      <c r="HO34" s="29" t="str">
        <f t="shared" si="35"/>
        <v/>
      </c>
      <c r="HP34" s="29" t="str">
        <f t="shared" si="35"/>
        <v/>
      </c>
      <c r="HQ34" s="29" t="str">
        <f t="shared" si="35"/>
        <v/>
      </c>
      <c r="HR34" s="29" t="str">
        <f t="shared" si="35"/>
        <v/>
      </c>
      <c r="HS34" s="29" t="str">
        <f t="shared" si="35"/>
        <v/>
      </c>
      <c r="HT34" s="29" t="str">
        <f t="shared" si="35"/>
        <v/>
      </c>
      <c r="HU34" s="29" t="str">
        <f t="shared" si="35"/>
        <v/>
      </c>
      <c r="HV34" s="29" t="str">
        <f t="shared" si="35"/>
        <v/>
      </c>
      <c r="HW34" s="29" t="str">
        <f t="shared" si="35"/>
        <v/>
      </c>
      <c r="HX34" s="29" t="str">
        <f t="shared" si="35"/>
        <v/>
      </c>
      <c r="HY34" s="29" t="str">
        <f t="shared" si="35"/>
        <v/>
      </c>
      <c r="HZ34" s="29" t="str">
        <f t="shared" si="35"/>
        <v/>
      </c>
      <c r="IA34" s="29" t="str">
        <f t="shared" si="35"/>
        <v/>
      </c>
      <c r="IB34" s="29" t="str">
        <f t="shared" si="35"/>
        <v/>
      </c>
      <c r="IC34" s="29" t="str">
        <f t="shared" si="35"/>
        <v/>
      </c>
      <c r="ID34" s="29" t="str">
        <f t="shared" si="35"/>
        <v/>
      </c>
      <c r="IE34" s="29" t="str">
        <f t="shared" si="35"/>
        <v/>
      </c>
      <c r="IF34" s="29" t="str">
        <f t="shared" si="35"/>
        <v/>
      </c>
      <c r="IG34" s="29" t="str">
        <f t="shared" si="35"/>
        <v/>
      </c>
      <c r="IH34" s="29" t="str">
        <f t="shared" si="35"/>
        <v/>
      </c>
      <c r="II34" s="29" t="str">
        <f t="shared" si="35"/>
        <v/>
      </c>
      <c r="IJ34" s="29" t="str">
        <f t="shared" si="35"/>
        <v/>
      </c>
      <c r="IK34" s="29" t="str">
        <f t="shared" si="35"/>
        <v/>
      </c>
      <c r="IL34" s="29" t="str">
        <f t="shared" si="35"/>
        <v/>
      </c>
      <c r="IM34" s="29" t="str">
        <f t="shared" si="35"/>
        <v/>
      </c>
      <c r="IN34" s="29" t="str">
        <f t="shared" si="35"/>
        <v/>
      </c>
      <c r="IO34" s="29" t="str">
        <f t="shared" si="35"/>
        <v/>
      </c>
      <c r="IP34" s="29" t="str">
        <f t="shared" si="35"/>
        <v/>
      </c>
      <c r="IQ34" s="29" t="str">
        <f t="shared" si="35"/>
        <v/>
      </c>
      <c r="IR34" s="29" t="str">
        <f t="shared" si="35"/>
        <v/>
      </c>
      <c r="IS34" s="29" t="str">
        <f t="shared" si="35"/>
        <v/>
      </c>
      <c r="IT34" s="29" t="str">
        <f t="shared" si="35"/>
        <v/>
      </c>
      <c r="IU34" s="29" t="str">
        <f t="shared" si="35"/>
        <v/>
      </c>
      <c r="IV34" s="29" t="str">
        <f t="shared" si="35"/>
        <v/>
      </c>
      <c r="IW34" s="29" t="str">
        <f t="shared" si="35"/>
        <v/>
      </c>
      <c r="IX34" s="29" t="str">
        <f t="shared" si="35"/>
        <v/>
      </c>
      <c r="IY34" s="29" t="str">
        <f t="shared" si="33"/>
        <v/>
      </c>
      <c r="IZ34" s="29" t="str">
        <f t="shared" si="33"/>
        <v/>
      </c>
      <c r="JA34" s="29" t="str">
        <f t="shared" si="33"/>
        <v/>
      </c>
      <c r="JB34" s="29" t="str">
        <f t="shared" si="33"/>
        <v/>
      </c>
      <c r="JC34" s="29" t="str">
        <f t="shared" si="33"/>
        <v/>
      </c>
      <c r="JD34" s="29" t="str">
        <f t="shared" si="33"/>
        <v/>
      </c>
      <c r="JE34" s="29" t="str">
        <f t="shared" si="33"/>
        <v/>
      </c>
      <c r="JF34" s="29" t="str">
        <f t="shared" si="33"/>
        <v/>
      </c>
      <c r="JG34" s="29" t="str">
        <f t="shared" si="33"/>
        <v/>
      </c>
      <c r="JH34" s="29" t="str">
        <f t="shared" si="33"/>
        <v/>
      </c>
      <c r="JI34" s="29" t="str">
        <f t="shared" si="33"/>
        <v/>
      </c>
      <c r="JJ34" s="29" t="str">
        <f t="shared" si="33"/>
        <v/>
      </c>
      <c r="JK34" s="29" t="str">
        <f t="shared" si="33"/>
        <v/>
      </c>
      <c r="JL34" s="29" t="str">
        <f t="shared" si="33"/>
        <v/>
      </c>
      <c r="JM34" s="29" t="str">
        <f t="shared" si="33"/>
        <v/>
      </c>
      <c r="JN34" s="29" t="str">
        <f t="shared" si="33"/>
        <v/>
      </c>
      <c r="JO34" s="29" t="str">
        <f t="shared" si="33"/>
        <v/>
      </c>
      <c r="JP34" s="29" t="str">
        <f t="shared" si="33"/>
        <v/>
      </c>
      <c r="JQ34" s="29" t="str">
        <f t="shared" si="33"/>
        <v/>
      </c>
      <c r="JR34" s="29" t="str">
        <f t="shared" si="33"/>
        <v/>
      </c>
      <c r="JS34" s="29" t="str">
        <f t="shared" si="33"/>
        <v/>
      </c>
      <c r="JT34" s="29" t="str">
        <f t="shared" si="33"/>
        <v/>
      </c>
      <c r="JU34" s="29" t="str">
        <f t="shared" si="33"/>
        <v/>
      </c>
      <c r="JV34" s="29" t="str">
        <f t="shared" si="33"/>
        <v/>
      </c>
      <c r="JW34" s="29" t="str">
        <f t="shared" si="33"/>
        <v/>
      </c>
      <c r="JX34" s="29" t="str">
        <f t="shared" si="33"/>
        <v/>
      </c>
      <c r="JY34" s="29" t="str">
        <f t="shared" si="33"/>
        <v/>
      </c>
      <c r="JZ34" s="29" t="str">
        <f t="shared" si="33"/>
        <v/>
      </c>
      <c r="KA34" s="29" t="str">
        <f t="shared" si="33"/>
        <v/>
      </c>
      <c r="KB34" s="29" t="str">
        <f t="shared" si="33"/>
        <v/>
      </c>
      <c r="KC34" s="29" t="str">
        <f t="shared" si="33"/>
        <v/>
      </c>
      <c r="KD34" s="29" t="str">
        <f t="shared" si="33"/>
        <v/>
      </c>
      <c r="KE34" s="29" t="str">
        <f t="shared" si="33"/>
        <v/>
      </c>
      <c r="KF34" s="29" t="str">
        <f t="shared" si="33"/>
        <v/>
      </c>
      <c r="KG34" s="29" t="str">
        <f t="shared" si="33"/>
        <v/>
      </c>
      <c r="KH34" s="29" t="str">
        <f t="shared" si="33"/>
        <v/>
      </c>
      <c r="KI34" s="29" t="str">
        <f t="shared" si="33"/>
        <v/>
      </c>
      <c r="KJ34" s="29" t="str">
        <f t="shared" si="33"/>
        <v/>
      </c>
      <c r="KK34" s="29" t="str">
        <f t="shared" si="33"/>
        <v/>
      </c>
      <c r="KL34" s="29" t="str">
        <f t="shared" si="33"/>
        <v/>
      </c>
      <c r="KM34" s="29" t="str">
        <f t="shared" si="33"/>
        <v/>
      </c>
      <c r="KN34" s="29" t="str">
        <f t="shared" si="33"/>
        <v/>
      </c>
      <c r="KO34" s="29" t="str">
        <f t="shared" si="33"/>
        <v/>
      </c>
      <c r="KP34" s="29" t="str">
        <f t="shared" si="29"/>
        <v/>
      </c>
    </row>
    <row r="35" spans="1:302" customFormat="1" hidden="1" outlineLevel="1" x14ac:dyDescent="0.2">
      <c r="A35" s="33">
        <f>A34+0.005</f>
        <v>5.0000000000000001E-3</v>
      </c>
      <c r="B35" s="29" t="str">
        <f t="shared" si="30"/>
        <v/>
      </c>
      <c r="C35" s="29" t="str">
        <f t="shared" ref="C35:BN38" si="37">IFERROR(C$27*(1+$A35)^-C$6,"")</f>
        <v/>
      </c>
      <c r="D35" s="29" t="str">
        <f t="shared" si="37"/>
        <v/>
      </c>
      <c r="E35" s="29" t="str">
        <f t="shared" si="37"/>
        <v/>
      </c>
      <c r="F35" s="29" t="str">
        <f t="shared" si="37"/>
        <v/>
      </c>
      <c r="G35" s="29" t="str">
        <f t="shared" si="37"/>
        <v/>
      </c>
      <c r="H35" s="29" t="str">
        <f t="shared" si="37"/>
        <v/>
      </c>
      <c r="I35" s="29" t="str">
        <f t="shared" si="37"/>
        <v/>
      </c>
      <c r="J35" s="29" t="str">
        <f t="shared" si="37"/>
        <v/>
      </c>
      <c r="K35" s="29" t="str">
        <f t="shared" si="37"/>
        <v/>
      </c>
      <c r="L35" s="29" t="str">
        <f t="shared" si="37"/>
        <v/>
      </c>
      <c r="M35" s="29" t="str">
        <f t="shared" si="37"/>
        <v/>
      </c>
      <c r="N35" s="29" t="str">
        <f t="shared" si="37"/>
        <v/>
      </c>
      <c r="O35" s="29" t="str">
        <f t="shared" si="37"/>
        <v/>
      </c>
      <c r="P35" s="29" t="str">
        <f t="shared" si="37"/>
        <v/>
      </c>
      <c r="Q35" s="29" t="str">
        <f t="shared" si="37"/>
        <v/>
      </c>
      <c r="R35" s="29" t="str">
        <f t="shared" si="37"/>
        <v/>
      </c>
      <c r="S35" s="29" t="str">
        <f t="shared" si="37"/>
        <v/>
      </c>
      <c r="T35" s="29" t="str">
        <f t="shared" si="37"/>
        <v/>
      </c>
      <c r="U35" s="29" t="str">
        <f t="shared" si="37"/>
        <v/>
      </c>
      <c r="V35" s="29" t="str">
        <f t="shared" si="37"/>
        <v/>
      </c>
      <c r="W35" s="29" t="str">
        <f t="shared" si="37"/>
        <v/>
      </c>
      <c r="X35" s="29" t="str">
        <f t="shared" si="37"/>
        <v/>
      </c>
      <c r="Y35" s="29" t="str">
        <f t="shared" si="37"/>
        <v/>
      </c>
      <c r="Z35" s="29" t="str">
        <f t="shared" si="37"/>
        <v/>
      </c>
      <c r="AA35" s="29" t="str">
        <f t="shared" si="37"/>
        <v/>
      </c>
      <c r="AB35" s="29" t="str">
        <f t="shared" si="37"/>
        <v/>
      </c>
      <c r="AC35" s="29" t="str">
        <f t="shared" si="37"/>
        <v/>
      </c>
      <c r="AD35" s="29" t="str">
        <f t="shared" si="37"/>
        <v/>
      </c>
      <c r="AE35" s="29" t="str">
        <f t="shared" si="37"/>
        <v/>
      </c>
      <c r="AF35" s="29" t="str">
        <f t="shared" si="37"/>
        <v/>
      </c>
      <c r="AG35" s="29" t="str">
        <f t="shared" si="37"/>
        <v/>
      </c>
      <c r="AH35" s="29" t="str">
        <f t="shared" si="37"/>
        <v/>
      </c>
      <c r="AI35" s="29" t="str">
        <f t="shared" si="37"/>
        <v/>
      </c>
      <c r="AJ35" s="29" t="str">
        <f t="shared" si="37"/>
        <v/>
      </c>
      <c r="AK35" s="29" t="str">
        <f t="shared" si="37"/>
        <v/>
      </c>
      <c r="AL35" s="29" t="str">
        <f t="shared" si="37"/>
        <v/>
      </c>
      <c r="AM35" s="29" t="str">
        <f t="shared" si="37"/>
        <v/>
      </c>
      <c r="AN35" s="29" t="str">
        <f t="shared" si="37"/>
        <v/>
      </c>
      <c r="AO35" s="29" t="str">
        <f t="shared" si="37"/>
        <v/>
      </c>
      <c r="AP35" s="29" t="str">
        <f t="shared" si="37"/>
        <v/>
      </c>
      <c r="AQ35" s="29" t="str">
        <f t="shared" si="37"/>
        <v/>
      </c>
      <c r="AR35" s="29" t="str">
        <f t="shared" si="37"/>
        <v/>
      </c>
      <c r="AS35" s="29" t="str">
        <f t="shared" si="37"/>
        <v/>
      </c>
      <c r="AT35" s="29" t="str">
        <f t="shared" si="37"/>
        <v/>
      </c>
      <c r="AU35" s="29" t="str">
        <f t="shared" si="37"/>
        <v/>
      </c>
      <c r="AV35" s="29" t="str">
        <f t="shared" si="37"/>
        <v/>
      </c>
      <c r="AW35" s="29" t="str">
        <f t="shared" si="37"/>
        <v/>
      </c>
      <c r="AX35" s="29" t="str">
        <f t="shared" si="37"/>
        <v/>
      </c>
      <c r="AY35" s="29" t="str">
        <f t="shared" si="37"/>
        <v/>
      </c>
      <c r="AZ35" s="29" t="str">
        <f t="shared" si="37"/>
        <v/>
      </c>
      <c r="BA35" s="29" t="str">
        <f t="shared" si="37"/>
        <v/>
      </c>
      <c r="BB35" s="29" t="str">
        <f t="shared" si="37"/>
        <v/>
      </c>
      <c r="BC35" s="29" t="str">
        <f t="shared" si="37"/>
        <v/>
      </c>
      <c r="BD35" s="29" t="str">
        <f t="shared" si="37"/>
        <v/>
      </c>
      <c r="BE35" s="29" t="str">
        <f t="shared" si="37"/>
        <v/>
      </c>
      <c r="BF35" s="29" t="str">
        <f t="shared" si="37"/>
        <v/>
      </c>
      <c r="BG35" s="29" t="str">
        <f t="shared" si="37"/>
        <v/>
      </c>
      <c r="BH35" s="29" t="str">
        <f t="shared" si="37"/>
        <v/>
      </c>
      <c r="BI35" s="29" t="str">
        <f t="shared" si="37"/>
        <v/>
      </c>
      <c r="BJ35" s="29" t="str">
        <f t="shared" si="37"/>
        <v/>
      </c>
      <c r="BK35" s="29" t="str">
        <f t="shared" si="37"/>
        <v/>
      </c>
      <c r="BL35" s="29" t="str">
        <f t="shared" si="37"/>
        <v/>
      </c>
      <c r="BM35" s="29" t="str">
        <f t="shared" si="37"/>
        <v/>
      </c>
      <c r="BN35" s="29" t="str">
        <f t="shared" si="37"/>
        <v/>
      </c>
      <c r="BO35" s="29" t="str">
        <f t="shared" si="36"/>
        <v/>
      </c>
      <c r="BP35" s="29" t="str">
        <f t="shared" si="36"/>
        <v/>
      </c>
      <c r="BQ35" s="29" t="str">
        <f t="shared" si="36"/>
        <v/>
      </c>
      <c r="BR35" s="29" t="str">
        <f t="shared" si="36"/>
        <v/>
      </c>
      <c r="BS35" s="29" t="str">
        <f t="shared" si="36"/>
        <v/>
      </c>
      <c r="BT35" s="29" t="str">
        <f t="shared" si="36"/>
        <v/>
      </c>
      <c r="BU35" s="29" t="str">
        <f t="shared" si="36"/>
        <v/>
      </c>
      <c r="BV35" s="29" t="str">
        <f t="shared" si="36"/>
        <v/>
      </c>
      <c r="BW35" s="29" t="str">
        <f t="shared" si="36"/>
        <v/>
      </c>
      <c r="BX35" s="29" t="str">
        <f t="shared" si="36"/>
        <v/>
      </c>
      <c r="BY35" s="29" t="str">
        <f t="shared" si="36"/>
        <v/>
      </c>
      <c r="BZ35" s="29" t="str">
        <f t="shared" si="36"/>
        <v/>
      </c>
      <c r="CA35" s="29" t="str">
        <f t="shared" si="36"/>
        <v/>
      </c>
      <c r="CB35" s="29" t="str">
        <f t="shared" si="36"/>
        <v/>
      </c>
      <c r="CC35" s="29" t="str">
        <f t="shared" si="36"/>
        <v/>
      </c>
      <c r="CD35" s="29" t="str">
        <f t="shared" si="36"/>
        <v/>
      </c>
      <c r="CE35" s="29" t="str">
        <f t="shared" si="36"/>
        <v/>
      </c>
      <c r="CF35" s="29" t="str">
        <f t="shared" si="36"/>
        <v/>
      </c>
      <c r="CG35" s="29" t="str">
        <f t="shared" si="36"/>
        <v/>
      </c>
      <c r="CH35" s="29" t="str">
        <f t="shared" si="36"/>
        <v/>
      </c>
      <c r="CI35" s="29" t="str">
        <f t="shared" si="36"/>
        <v/>
      </c>
      <c r="CJ35" s="29" t="str">
        <f t="shared" si="36"/>
        <v/>
      </c>
      <c r="CK35" s="29" t="str">
        <f t="shared" si="36"/>
        <v/>
      </c>
      <c r="CL35" s="29" t="str">
        <f t="shared" si="36"/>
        <v/>
      </c>
      <c r="CM35" s="29" t="str">
        <f t="shared" si="36"/>
        <v/>
      </c>
      <c r="CN35" s="29" t="str">
        <f t="shared" si="36"/>
        <v/>
      </c>
      <c r="CO35" s="29" t="str">
        <f t="shared" si="36"/>
        <v/>
      </c>
      <c r="CP35" s="29" t="str">
        <f t="shared" si="36"/>
        <v/>
      </c>
      <c r="CQ35" s="29" t="str">
        <f t="shared" si="36"/>
        <v/>
      </c>
      <c r="CR35" s="29" t="str">
        <f t="shared" si="36"/>
        <v/>
      </c>
      <c r="CS35" s="29" t="str">
        <f t="shared" si="36"/>
        <v/>
      </c>
      <c r="CT35" s="29" t="str">
        <f t="shared" si="36"/>
        <v/>
      </c>
      <c r="CU35" s="29" t="str">
        <f t="shared" si="36"/>
        <v/>
      </c>
      <c r="CV35" s="29" t="str">
        <f t="shared" si="36"/>
        <v/>
      </c>
      <c r="CW35" s="29" t="str">
        <f t="shared" si="36"/>
        <v/>
      </c>
      <c r="CX35" s="29" t="str">
        <f t="shared" si="36"/>
        <v/>
      </c>
      <c r="CY35" s="29" t="str">
        <f t="shared" si="36"/>
        <v/>
      </c>
      <c r="CZ35" s="29" t="str">
        <f t="shared" si="36"/>
        <v/>
      </c>
      <c r="DA35" s="29" t="str">
        <f t="shared" si="36"/>
        <v/>
      </c>
      <c r="DB35" s="29" t="str">
        <f t="shared" si="36"/>
        <v/>
      </c>
      <c r="DC35" s="29" t="str">
        <f t="shared" si="36"/>
        <v/>
      </c>
      <c r="DD35" s="29" t="str">
        <f t="shared" si="36"/>
        <v/>
      </c>
      <c r="DE35" s="29" t="str">
        <f t="shared" si="36"/>
        <v/>
      </c>
      <c r="DF35" s="29" t="str">
        <f t="shared" si="36"/>
        <v/>
      </c>
      <c r="DG35" s="29" t="str">
        <f t="shared" si="36"/>
        <v/>
      </c>
      <c r="DH35" s="29" t="str">
        <f t="shared" si="36"/>
        <v/>
      </c>
      <c r="DI35" s="29" t="str">
        <f t="shared" si="36"/>
        <v/>
      </c>
      <c r="DJ35" s="29" t="str">
        <f t="shared" si="36"/>
        <v/>
      </c>
      <c r="DK35" s="29" t="str">
        <f t="shared" si="36"/>
        <v/>
      </c>
      <c r="DL35" s="29" t="str">
        <f t="shared" si="36"/>
        <v/>
      </c>
      <c r="DM35" s="29" t="str">
        <f t="shared" si="36"/>
        <v/>
      </c>
      <c r="DN35" s="29" t="str">
        <f t="shared" si="36"/>
        <v/>
      </c>
      <c r="DO35" s="29" t="str">
        <f t="shared" si="36"/>
        <v/>
      </c>
      <c r="DP35" s="29" t="str">
        <f t="shared" si="36"/>
        <v/>
      </c>
      <c r="DQ35" s="29" t="str">
        <f t="shared" si="36"/>
        <v/>
      </c>
      <c r="DR35" s="29" t="str">
        <f t="shared" si="36"/>
        <v/>
      </c>
      <c r="DS35" s="29" t="str">
        <f t="shared" si="36"/>
        <v/>
      </c>
      <c r="DT35" s="29" t="str">
        <f t="shared" si="36"/>
        <v/>
      </c>
      <c r="DU35" s="29" t="str">
        <f t="shared" si="36"/>
        <v/>
      </c>
      <c r="DV35" s="29" t="str">
        <f t="shared" si="36"/>
        <v/>
      </c>
      <c r="DW35" s="29" t="str">
        <f t="shared" si="36"/>
        <v/>
      </c>
      <c r="DX35" s="29" t="str">
        <f t="shared" si="36"/>
        <v/>
      </c>
      <c r="DY35" s="29" t="str">
        <f t="shared" si="36"/>
        <v/>
      </c>
      <c r="DZ35" s="29" t="str">
        <f t="shared" si="34"/>
        <v/>
      </c>
      <c r="EA35" s="29" t="str">
        <f t="shared" si="32"/>
        <v/>
      </c>
      <c r="EB35" s="29" t="str">
        <f t="shared" si="32"/>
        <v/>
      </c>
      <c r="EC35" s="29" t="str">
        <f t="shared" si="32"/>
        <v/>
      </c>
      <c r="ED35" s="29" t="str">
        <f t="shared" si="32"/>
        <v/>
      </c>
      <c r="EE35" s="29" t="str">
        <f t="shared" si="32"/>
        <v/>
      </c>
      <c r="EF35" s="29" t="str">
        <f t="shared" si="32"/>
        <v/>
      </c>
      <c r="EG35" s="29" t="str">
        <f t="shared" si="32"/>
        <v/>
      </c>
      <c r="EH35" s="29" t="str">
        <f t="shared" si="32"/>
        <v/>
      </c>
      <c r="EI35" s="29" t="str">
        <f t="shared" si="32"/>
        <v/>
      </c>
      <c r="EJ35" s="29" t="str">
        <f t="shared" si="32"/>
        <v/>
      </c>
      <c r="EK35" s="29" t="str">
        <f t="shared" si="32"/>
        <v/>
      </c>
      <c r="EL35" s="29" t="str">
        <f t="shared" si="32"/>
        <v/>
      </c>
      <c r="EM35" s="29" t="str">
        <f t="shared" si="32"/>
        <v/>
      </c>
      <c r="EN35" s="29" t="str">
        <f t="shared" si="32"/>
        <v/>
      </c>
      <c r="EO35" s="29" t="str">
        <f t="shared" si="32"/>
        <v/>
      </c>
      <c r="EP35" s="29" t="str">
        <f t="shared" si="32"/>
        <v/>
      </c>
      <c r="EQ35" s="29" t="str">
        <f t="shared" si="32"/>
        <v/>
      </c>
      <c r="ER35" s="29" t="str">
        <f t="shared" si="32"/>
        <v/>
      </c>
      <c r="ES35" s="29" t="str">
        <f t="shared" si="32"/>
        <v/>
      </c>
      <c r="ET35" s="29" t="str">
        <f t="shared" si="32"/>
        <v/>
      </c>
      <c r="EU35" s="29" t="str">
        <f t="shared" si="32"/>
        <v/>
      </c>
      <c r="EV35" s="29" t="str">
        <f t="shared" si="32"/>
        <v/>
      </c>
      <c r="EW35" s="29" t="str">
        <f t="shared" si="32"/>
        <v/>
      </c>
      <c r="EX35" s="29" t="str">
        <f t="shared" si="32"/>
        <v/>
      </c>
      <c r="EY35" s="29" t="str">
        <f t="shared" si="32"/>
        <v/>
      </c>
      <c r="EZ35" s="29" t="str">
        <f t="shared" si="32"/>
        <v/>
      </c>
      <c r="FA35" s="29" t="str">
        <f t="shared" si="32"/>
        <v/>
      </c>
      <c r="FB35" s="29" t="str">
        <f t="shared" si="32"/>
        <v/>
      </c>
      <c r="FC35" s="29" t="str">
        <f t="shared" si="32"/>
        <v/>
      </c>
      <c r="FD35" s="29" t="str">
        <f t="shared" si="32"/>
        <v/>
      </c>
      <c r="FE35" s="29" t="str">
        <f t="shared" si="32"/>
        <v/>
      </c>
      <c r="FF35" s="29" t="str">
        <f t="shared" si="32"/>
        <v/>
      </c>
      <c r="FG35" s="29" t="str">
        <f t="shared" si="32"/>
        <v/>
      </c>
      <c r="FH35" s="29" t="str">
        <f t="shared" si="32"/>
        <v/>
      </c>
      <c r="FI35" s="29" t="str">
        <f t="shared" si="32"/>
        <v/>
      </c>
      <c r="FJ35" s="29" t="str">
        <f t="shared" si="32"/>
        <v/>
      </c>
      <c r="FK35" s="29" t="str">
        <f t="shared" si="32"/>
        <v/>
      </c>
      <c r="FL35" s="29" t="str">
        <f t="shared" si="32"/>
        <v/>
      </c>
      <c r="FM35" s="29" t="str">
        <f t="shared" si="32"/>
        <v/>
      </c>
      <c r="FN35" s="29" t="str">
        <f t="shared" si="32"/>
        <v/>
      </c>
      <c r="FO35" s="29" t="str">
        <f t="shared" si="32"/>
        <v/>
      </c>
      <c r="FP35" s="29" t="str">
        <f t="shared" si="32"/>
        <v/>
      </c>
      <c r="FQ35" s="29" t="str">
        <f t="shared" si="32"/>
        <v/>
      </c>
      <c r="FR35" s="29" t="str">
        <f t="shared" si="32"/>
        <v/>
      </c>
      <c r="FS35" s="29" t="str">
        <f t="shared" si="32"/>
        <v/>
      </c>
      <c r="FT35" s="29" t="str">
        <f t="shared" si="32"/>
        <v/>
      </c>
      <c r="FU35" s="29" t="str">
        <f t="shared" si="32"/>
        <v/>
      </c>
      <c r="FV35" s="29" t="str">
        <f t="shared" si="32"/>
        <v/>
      </c>
      <c r="FW35" s="29" t="str">
        <f t="shared" si="32"/>
        <v/>
      </c>
      <c r="FX35" s="29" t="str">
        <f t="shared" si="32"/>
        <v/>
      </c>
      <c r="FY35" s="29" t="str">
        <f t="shared" si="32"/>
        <v/>
      </c>
      <c r="FZ35" s="29" t="str">
        <f t="shared" si="32"/>
        <v/>
      </c>
      <c r="GA35" s="29" t="str">
        <f t="shared" si="32"/>
        <v/>
      </c>
      <c r="GB35" s="29" t="str">
        <f t="shared" si="32"/>
        <v/>
      </c>
      <c r="GC35" s="29" t="str">
        <f t="shared" si="32"/>
        <v/>
      </c>
      <c r="GD35" s="29" t="str">
        <f t="shared" si="32"/>
        <v/>
      </c>
      <c r="GE35" s="29" t="str">
        <f t="shared" si="32"/>
        <v/>
      </c>
      <c r="GF35" s="29" t="str">
        <f t="shared" si="32"/>
        <v/>
      </c>
      <c r="GG35" s="29" t="str">
        <f t="shared" si="32"/>
        <v/>
      </c>
      <c r="GH35" s="29" t="str">
        <f t="shared" si="32"/>
        <v/>
      </c>
      <c r="GI35" s="29" t="str">
        <f t="shared" si="32"/>
        <v/>
      </c>
      <c r="GJ35" s="29" t="str">
        <f t="shared" si="32"/>
        <v/>
      </c>
      <c r="GK35" s="29" t="str">
        <f t="shared" si="32"/>
        <v/>
      </c>
      <c r="GL35" s="29" t="str">
        <f t="shared" si="27"/>
        <v/>
      </c>
      <c r="GM35" s="29" t="str">
        <f t="shared" si="35"/>
        <v/>
      </c>
      <c r="GN35" s="29" t="str">
        <f t="shared" si="35"/>
        <v/>
      </c>
      <c r="GO35" s="29" t="str">
        <f t="shared" si="35"/>
        <v/>
      </c>
      <c r="GP35" s="29" t="str">
        <f t="shared" si="35"/>
        <v/>
      </c>
      <c r="GQ35" s="29" t="str">
        <f t="shared" si="35"/>
        <v/>
      </c>
      <c r="GR35" s="29" t="str">
        <f t="shared" si="35"/>
        <v/>
      </c>
      <c r="GS35" s="29" t="str">
        <f t="shared" si="35"/>
        <v/>
      </c>
      <c r="GT35" s="29" t="str">
        <f t="shared" si="35"/>
        <v/>
      </c>
      <c r="GU35" s="29" t="str">
        <f t="shared" si="35"/>
        <v/>
      </c>
      <c r="GV35" s="29" t="str">
        <f t="shared" si="35"/>
        <v/>
      </c>
      <c r="GW35" s="29" t="str">
        <f t="shared" si="35"/>
        <v/>
      </c>
      <c r="GX35" s="29" t="str">
        <f t="shared" si="35"/>
        <v/>
      </c>
      <c r="GY35" s="29" t="str">
        <f t="shared" si="35"/>
        <v/>
      </c>
      <c r="GZ35" s="29" t="str">
        <f t="shared" si="35"/>
        <v/>
      </c>
      <c r="HA35" s="29" t="str">
        <f t="shared" si="35"/>
        <v/>
      </c>
      <c r="HB35" s="29" t="str">
        <f t="shared" si="35"/>
        <v/>
      </c>
      <c r="HC35" s="29" t="str">
        <f t="shared" si="35"/>
        <v/>
      </c>
      <c r="HD35" s="29" t="str">
        <f t="shared" si="35"/>
        <v/>
      </c>
      <c r="HE35" s="29" t="str">
        <f t="shared" si="35"/>
        <v/>
      </c>
      <c r="HF35" s="29" t="str">
        <f t="shared" si="35"/>
        <v/>
      </c>
      <c r="HG35" s="29" t="str">
        <f t="shared" si="35"/>
        <v/>
      </c>
      <c r="HH35" s="29" t="str">
        <f t="shared" si="35"/>
        <v/>
      </c>
      <c r="HI35" s="29" t="str">
        <f t="shared" si="35"/>
        <v/>
      </c>
      <c r="HJ35" s="29" t="str">
        <f t="shared" si="35"/>
        <v/>
      </c>
      <c r="HK35" s="29" t="str">
        <f t="shared" si="35"/>
        <v/>
      </c>
      <c r="HL35" s="29" t="str">
        <f t="shared" si="35"/>
        <v/>
      </c>
      <c r="HM35" s="29" t="str">
        <f t="shared" si="35"/>
        <v/>
      </c>
      <c r="HN35" s="29" t="str">
        <f t="shared" si="35"/>
        <v/>
      </c>
      <c r="HO35" s="29" t="str">
        <f t="shared" si="35"/>
        <v/>
      </c>
      <c r="HP35" s="29" t="str">
        <f t="shared" si="35"/>
        <v/>
      </c>
      <c r="HQ35" s="29" t="str">
        <f t="shared" si="35"/>
        <v/>
      </c>
      <c r="HR35" s="29" t="str">
        <f t="shared" si="35"/>
        <v/>
      </c>
      <c r="HS35" s="29" t="str">
        <f t="shared" si="35"/>
        <v/>
      </c>
      <c r="HT35" s="29" t="str">
        <f t="shared" si="35"/>
        <v/>
      </c>
      <c r="HU35" s="29" t="str">
        <f t="shared" si="35"/>
        <v/>
      </c>
      <c r="HV35" s="29" t="str">
        <f t="shared" si="35"/>
        <v/>
      </c>
      <c r="HW35" s="29" t="str">
        <f t="shared" si="35"/>
        <v/>
      </c>
      <c r="HX35" s="29" t="str">
        <f t="shared" si="35"/>
        <v/>
      </c>
      <c r="HY35" s="29" t="str">
        <f t="shared" si="35"/>
        <v/>
      </c>
      <c r="HZ35" s="29" t="str">
        <f t="shared" si="35"/>
        <v/>
      </c>
      <c r="IA35" s="29" t="str">
        <f t="shared" si="35"/>
        <v/>
      </c>
      <c r="IB35" s="29" t="str">
        <f t="shared" si="35"/>
        <v/>
      </c>
      <c r="IC35" s="29" t="str">
        <f t="shared" si="35"/>
        <v/>
      </c>
      <c r="ID35" s="29" t="str">
        <f t="shared" si="35"/>
        <v/>
      </c>
      <c r="IE35" s="29" t="str">
        <f t="shared" si="35"/>
        <v/>
      </c>
      <c r="IF35" s="29" t="str">
        <f t="shared" si="35"/>
        <v/>
      </c>
      <c r="IG35" s="29" t="str">
        <f t="shared" si="35"/>
        <v/>
      </c>
      <c r="IH35" s="29" t="str">
        <f t="shared" si="35"/>
        <v/>
      </c>
      <c r="II35" s="29" t="str">
        <f t="shared" si="35"/>
        <v/>
      </c>
      <c r="IJ35" s="29" t="str">
        <f t="shared" si="35"/>
        <v/>
      </c>
      <c r="IK35" s="29" t="str">
        <f t="shared" si="35"/>
        <v/>
      </c>
      <c r="IL35" s="29" t="str">
        <f t="shared" si="35"/>
        <v/>
      </c>
      <c r="IM35" s="29" t="str">
        <f t="shared" si="35"/>
        <v/>
      </c>
      <c r="IN35" s="29" t="str">
        <f t="shared" si="35"/>
        <v/>
      </c>
      <c r="IO35" s="29" t="str">
        <f t="shared" si="35"/>
        <v/>
      </c>
      <c r="IP35" s="29" t="str">
        <f t="shared" si="35"/>
        <v/>
      </c>
      <c r="IQ35" s="29" t="str">
        <f t="shared" si="35"/>
        <v/>
      </c>
      <c r="IR35" s="29" t="str">
        <f t="shared" si="35"/>
        <v/>
      </c>
      <c r="IS35" s="29" t="str">
        <f t="shared" si="35"/>
        <v/>
      </c>
      <c r="IT35" s="29" t="str">
        <f t="shared" si="35"/>
        <v/>
      </c>
      <c r="IU35" s="29" t="str">
        <f t="shared" si="35"/>
        <v/>
      </c>
      <c r="IV35" s="29" t="str">
        <f t="shared" si="35"/>
        <v/>
      </c>
      <c r="IW35" s="29" t="str">
        <f t="shared" si="35"/>
        <v/>
      </c>
      <c r="IX35" s="29" t="str">
        <f t="shared" si="35"/>
        <v/>
      </c>
      <c r="IY35" s="29" t="str">
        <f t="shared" si="33"/>
        <v/>
      </c>
      <c r="IZ35" s="29" t="str">
        <f t="shared" si="33"/>
        <v/>
      </c>
      <c r="JA35" s="29" t="str">
        <f t="shared" si="33"/>
        <v/>
      </c>
      <c r="JB35" s="29" t="str">
        <f t="shared" si="33"/>
        <v/>
      </c>
      <c r="JC35" s="29" t="str">
        <f t="shared" si="33"/>
        <v/>
      </c>
      <c r="JD35" s="29" t="str">
        <f t="shared" si="33"/>
        <v/>
      </c>
      <c r="JE35" s="29" t="str">
        <f t="shared" si="33"/>
        <v/>
      </c>
      <c r="JF35" s="29" t="str">
        <f t="shared" si="33"/>
        <v/>
      </c>
      <c r="JG35" s="29" t="str">
        <f t="shared" si="33"/>
        <v/>
      </c>
      <c r="JH35" s="29" t="str">
        <f t="shared" si="33"/>
        <v/>
      </c>
      <c r="JI35" s="29" t="str">
        <f t="shared" si="33"/>
        <v/>
      </c>
      <c r="JJ35" s="29" t="str">
        <f t="shared" si="33"/>
        <v/>
      </c>
      <c r="JK35" s="29" t="str">
        <f t="shared" si="33"/>
        <v/>
      </c>
      <c r="JL35" s="29" t="str">
        <f t="shared" si="33"/>
        <v/>
      </c>
      <c r="JM35" s="29" t="str">
        <f t="shared" si="33"/>
        <v/>
      </c>
      <c r="JN35" s="29" t="str">
        <f t="shared" si="33"/>
        <v/>
      </c>
      <c r="JO35" s="29" t="str">
        <f t="shared" si="33"/>
        <v/>
      </c>
      <c r="JP35" s="29" t="str">
        <f t="shared" si="33"/>
        <v/>
      </c>
      <c r="JQ35" s="29" t="str">
        <f t="shared" si="33"/>
        <v/>
      </c>
      <c r="JR35" s="29" t="str">
        <f t="shared" si="33"/>
        <v/>
      </c>
      <c r="JS35" s="29" t="str">
        <f t="shared" si="33"/>
        <v/>
      </c>
      <c r="JT35" s="29" t="str">
        <f t="shared" si="33"/>
        <v/>
      </c>
      <c r="JU35" s="29" t="str">
        <f t="shared" si="33"/>
        <v/>
      </c>
      <c r="JV35" s="29" t="str">
        <f t="shared" si="33"/>
        <v/>
      </c>
      <c r="JW35" s="29" t="str">
        <f t="shared" si="33"/>
        <v/>
      </c>
      <c r="JX35" s="29" t="str">
        <f t="shared" si="33"/>
        <v/>
      </c>
      <c r="JY35" s="29" t="str">
        <f t="shared" si="33"/>
        <v/>
      </c>
      <c r="JZ35" s="29" t="str">
        <f t="shared" si="33"/>
        <v/>
      </c>
      <c r="KA35" s="29" t="str">
        <f t="shared" si="33"/>
        <v/>
      </c>
      <c r="KB35" s="29" t="str">
        <f t="shared" si="33"/>
        <v/>
      </c>
      <c r="KC35" s="29" t="str">
        <f t="shared" si="33"/>
        <v/>
      </c>
      <c r="KD35" s="29" t="str">
        <f t="shared" si="33"/>
        <v/>
      </c>
      <c r="KE35" s="29" t="str">
        <f t="shared" si="33"/>
        <v/>
      </c>
      <c r="KF35" s="29" t="str">
        <f t="shared" si="33"/>
        <v/>
      </c>
      <c r="KG35" s="29" t="str">
        <f t="shared" si="33"/>
        <v/>
      </c>
      <c r="KH35" s="29" t="str">
        <f t="shared" si="33"/>
        <v/>
      </c>
      <c r="KI35" s="29" t="str">
        <f t="shared" si="33"/>
        <v/>
      </c>
      <c r="KJ35" s="29" t="str">
        <f t="shared" si="33"/>
        <v/>
      </c>
      <c r="KK35" s="29" t="str">
        <f t="shared" si="33"/>
        <v/>
      </c>
      <c r="KL35" s="29" t="str">
        <f t="shared" si="33"/>
        <v/>
      </c>
      <c r="KM35" s="29" t="str">
        <f t="shared" si="33"/>
        <v/>
      </c>
      <c r="KN35" s="29" t="str">
        <f t="shared" si="33"/>
        <v/>
      </c>
      <c r="KO35" s="29" t="str">
        <f t="shared" si="33"/>
        <v/>
      </c>
      <c r="KP35" s="29" t="str">
        <f t="shared" si="29"/>
        <v/>
      </c>
    </row>
    <row r="36" spans="1:302" customFormat="1" hidden="1" outlineLevel="1" x14ac:dyDescent="0.2">
      <c r="A36" s="33">
        <f t="shared" ref="A36:A40" si="38">A35+0.005</f>
        <v>0.01</v>
      </c>
      <c r="B36" s="29" t="str">
        <f t="shared" si="30"/>
        <v/>
      </c>
      <c r="C36" s="29" t="str">
        <f t="shared" si="37"/>
        <v/>
      </c>
      <c r="D36" s="29" t="str">
        <f t="shared" si="37"/>
        <v/>
      </c>
      <c r="E36" s="29" t="str">
        <f t="shared" si="37"/>
        <v/>
      </c>
      <c r="F36" s="29" t="str">
        <f t="shared" si="37"/>
        <v/>
      </c>
      <c r="G36" s="29" t="str">
        <f t="shared" si="37"/>
        <v/>
      </c>
      <c r="H36" s="29" t="str">
        <f t="shared" si="37"/>
        <v/>
      </c>
      <c r="I36" s="29" t="str">
        <f t="shared" si="37"/>
        <v/>
      </c>
      <c r="J36" s="29" t="str">
        <f t="shared" si="37"/>
        <v/>
      </c>
      <c r="K36" s="29" t="str">
        <f t="shared" si="37"/>
        <v/>
      </c>
      <c r="L36" s="29" t="str">
        <f t="shared" si="37"/>
        <v/>
      </c>
      <c r="M36" s="29" t="str">
        <f t="shared" si="37"/>
        <v/>
      </c>
      <c r="N36" s="29" t="str">
        <f t="shared" si="37"/>
        <v/>
      </c>
      <c r="O36" s="29" t="str">
        <f t="shared" si="37"/>
        <v/>
      </c>
      <c r="P36" s="29" t="str">
        <f t="shared" si="37"/>
        <v/>
      </c>
      <c r="Q36" s="29" t="str">
        <f t="shared" si="37"/>
        <v/>
      </c>
      <c r="R36" s="29" t="str">
        <f t="shared" si="37"/>
        <v/>
      </c>
      <c r="S36" s="29" t="str">
        <f t="shared" si="37"/>
        <v/>
      </c>
      <c r="T36" s="29" t="str">
        <f t="shared" si="37"/>
        <v/>
      </c>
      <c r="U36" s="29" t="str">
        <f t="shared" si="37"/>
        <v/>
      </c>
      <c r="V36" s="29" t="str">
        <f t="shared" si="37"/>
        <v/>
      </c>
      <c r="W36" s="29" t="str">
        <f t="shared" si="37"/>
        <v/>
      </c>
      <c r="X36" s="29" t="str">
        <f t="shared" si="37"/>
        <v/>
      </c>
      <c r="Y36" s="29" t="str">
        <f t="shared" si="37"/>
        <v/>
      </c>
      <c r="Z36" s="29" t="str">
        <f t="shared" si="37"/>
        <v/>
      </c>
      <c r="AA36" s="29" t="str">
        <f t="shared" si="37"/>
        <v/>
      </c>
      <c r="AB36" s="29" t="str">
        <f t="shared" si="37"/>
        <v/>
      </c>
      <c r="AC36" s="29" t="str">
        <f t="shared" si="37"/>
        <v/>
      </c>
      <c r="AD36" s="29" t="str">
        <f t="shared" si="37"/>
        <v/>
      </c>
      <c r="AE36" s="29" t="str">
        <f t="shared" si="37"/>
        <v/>
      </c>
      <c r="AF36" s="29" t="str">
        <f t="shared" si="37"/>
        <v/>
      </c>
      <c r="AG36" s="29" t="str">
        <f t="shared" si="37"/>
        <v/>
      </c>
      <c r="AH36" s="29" t="str">
        <f t="shared" si="37"/>
        <v/>
      </c>
      <c r="AI36" s="29" t="str">
        <f t="shared" si="37"/>
        <v/>
      </c>
      <c r="AJ36" s="29" t="str">
        <f t="shared" si="37"/>
        <v/>
      </c>
      <c r="AK36" s="29" t="str">
        <f t="shared" si="37"/>
        <v/>
      </c>
      <c r="AL36" s="29" t="str">
        <f t="shared" si="37"/>
        <v/>
      </c>
      <c r="AM36" s="29" t="str">
        <f t="shared" si="37"/>
        <v/>
      </c>
      <c r="AN36" s="29" t="str">
        <f t="shared" si="37"/>
        <v/>
      </c>
      <c r="AO36" s="29" t="str">
        <f t="shared" si="37"/>
        <v/>
      </c>
      <c r="AP36" s="29" t="str">
        <f t="shared" si="37"/>
        <v/>
      </c>
      <c r="AQ36" s="29" t="str">
        <f t="shared" si="37"/>
        <v/>
      </c>
      <c r="AR36" s="29" t="str">
        <f t="shared" si="37"/>
        <v/>
      </c>
      <c r="AS36" s="29" t="str">
        <f t="shared" si="37"/>
        <v/>
      </c>
      <c r="AT36" s="29" t="str">
        <f t="shared" si="37"/>
        <v/>
      </c>
      <c r="AU36" s="29" t="str">
        <f t="shared" si="37"/>
        <v/>
      </c>
      <c r="AV36" s="29" t="str">
        <f t="shared" si="37"/>
        <v/>
      </c>
      <c r="AW36" s="29" t="str">
        <f t="shared" si="37"/>
        <v/>
      </c>
      <c r="AX36" s="29" t="str">
        <f t="shared" si="37"/>
        <v/>
      </c>
      <c r="AY36" s="29" t="str">
        <f t="shared" si="37"/>
        <v/>
      </c>
      <c r="AZ36" s="29" t="str">
        <f t="shared" si="37"/>
        <v/>
      </c>
      <c r="BA36" s="29" t="str">
        <f t="shared" si="37"/>
        <v/>
      </c>
      <c r="BB36" s="29" t="str">
        <f t="shared" si="37"/>
        <v/>
      </c>
      <c r="BC36" s="29" t="str">
        <f t="shared" si="37"/>
        <v/>
      </c>
      <c r="BD36" s="29" t="str">
        <f t="shared" si="37"/>
        <v/>
      </c>
      <c r="BE36" s="29" t="str">
        <f t="shared" si="37"/>
        <v/>
      </c>
      <c r="BF36" s="29" t="str">
        <f t="shared" si="37"/>
        <v/>
      </c>
      <c r="BG36" s="29" t="str">
        <f t="shared" si="37"/>
        <v/>
      </c>
      <c r="BH36" s="29" t="str">
        <f t="shared" si="37"/>
        <v/>
      </c>
      <c r="BI36" s="29" t="str">
        <f t="shared" si="37"/>
        <v/>
      </c>
      <c r="BJ36" s="29" t="str">
        <f t="shared" si="37"/>
        <v/>
      </c>
      <c r="BK36" s="29" t="str">
        <f t="shared" si="37"/>
        <v/>
      </c>
      <c r="BL36" s="29" t="str">
        <f t="shared" si="37"/>
        <v/>
      </c>
      <c r="BM36" s="29" t="str">
        <f t="shared" si="37"/>
        <v/>
      </c>
      <c r="BN36" s="29" t="str">
        <f t="shared" si="37"/>
        <v/>
      </c>
      <c r="BO36" s="29" t="str">
        <f t="shared" si="36"/>
        <v/>
      </c>
      <c r="BP36" s="29" t="str">
        <f t="shared" si="36"/>
        <v/>
      </c>
      <c r="BQ36" s="29" t="str">
        <f t="shared" si="36"/>
        <v/>
      </c>
      <c r="BR36" s="29" t="str">
        <f t="shared" si="36"/>
        <v/>
      </c>
      <c r="BS36" s="29" t="str">
        <f t="shared" si="36"/>
        <v/>
      </c>
      <c r="BT36" s="29" t="str">
        <f t="shared" si="36"/>
        <v/>
      </c>
      <c r="BU36" s="29" t="str">
        <f t="shared" si="36"/>
        <v/>
      </c>
      <c r="BV36" s="29" t="str">
        <f t="shared" si="36"/>
        <v/>
      </c>
      <c r="BW36" s="29" t="str">
        <f t="shared" si="36"/>
        <v/>
      </c>
      <c r="BX36" s="29" t="str">
        <f t="shared" si="36"/>
        <v/>
      </c>
      <c r="BY36" s="29" t="str">
        <f t="shared" si="36"/>
        <v/>
      </c>
      <c r="BZ36" s="29" t="str">
        <f t="shared" si="36"/>
        <v/>
      </c>
      <c r="CA36" s="29" t="str">
        <f t="shared" si="36"/>
        <v/>
      </c>
      <c r="CB36" s="29" t="str">
        <f t="shared" si="36"/>
        <v/>
      </c>
      <c r="CC36" s="29" t="str">
        <f t="shared" si="36"/>
        <v/>
      </c>
      <c r="CD36" s="29" t="str">
        <f t="shared" si="36"/>
        <v/>
      </c>
      <c r="CE36" s="29" t="str">
        <f t="shared" si="36"/>
        <v/>
      </c>
      <c r="CF36" s="29" t="str">
        <f t="shared" si="36"/>
        <v/>
      </c>
      <c r="CG36" s="29" t="str">
        <f t="shared" si="36"/>
        <v/>
      </c>
      <c r="CH36" s="29" t="str">
        <f t="shared" si="36"/>
        <v/>
      </c>
      <c r="CI36" s="29" t="str">
        <f t="shared" si="36"/>
        <v/>
      </c>
      <c r="CJ36" s="29" t="str">
        <f t="shared" si="36"/>
        <v/>
      </c>
      <c r="CK36" s="29" t="str">
        <f t="shared" si="36"/>
        <v/>
      </c>
      <c r="CL36" s="29" t="str">
        <f t="shared" si="36"/>
        <v/>
      </c>
      <c r="CM36" s="29" t="str">
        <f t="shared" si="36"/>
        <v/>
      </c>
      <c r="CN36" s="29" t="str">
        <f t="shared" si="36"/>
        <v/>
      </c>
      <c r="CO36" s="29" t="str">
        <f t="shared" si="36"/>
        <v/>
      </c>
      <c r="CP36" s="29" t="str">
        <f t="shared" si="36"/>
        <v/>
      </c>
      <c r="CQ36" s="29" t="str">
        <f t="shared" si="36"/>
        <v/>
      </c>
      <c r="CR36" s="29" t="str">
        <f t="shared" si="36"/>
        <v/>
      </c>
      <c r="CS36" s="29" t="str">
        <f t="shared" si="36"/>
        <v/>
      </c>
      <c r="CT36" s="29" t="str">
        <f t="shared" si="36"/>
        <v/>
      </c>
      <c r="CU36" s="29" t="str">
        <f t="shared" si="36"/>
        <v/>
      </c>
      <c r="CV36" s="29" t="str">
        <f t="shared" si="36"/>
        <v/>
      </c>
      <c r="CW36" s="29" t="str">
        <f t="shared" si="36"/>
        <v/>
      </c>
      <c r="CX36" s="29" t="str">
        <f t="shared" si="36"/>
        <v/>
      </c>
      <c r="CY36" s="29" t="str">
        <f t="shared" si="36"/>
        <v/>
      </c>
      <c r="CZ36" s="29" t="str">
        <f t="shared" si="36"/>
        <v/>
      </c>
      <c r="DA36" s="29" t="str">
        <f t="shared" si="36"/>
        <v/>
      </c>
      <c r="DB36" s="29" t="str">
        <f t="shared" si="36"/>
        <v/>
      </c>
      <c r="DC36" s="29" t="str">
        <f t="shared" si="36"/>
        <v/>
      </c>
      <c r="DD36" s="29" t="str">
        <f t="shared" si="36"/>
        <v/>
      </c>
      <c r="DE36" s="29" t="str">
        <f t="shared" si="36"/>
        <v/>
      </c>
      <c r="DF36" s="29" t="str">
        <f t="shared" si="36"/>
        <v/>
      </c>
      <c r="DG36" s="29" t="str">
        <f t="shared" si="36"/>
        <v/>
      </c>
      <c r="DH36" s="29" t="str">
        <f t="shared" si="36"/>
        <v/>
      </c>
      <c r="DI36" s="29" t="str">
        <f t="shared" si="36"/>
        <v/>
      </c>
      <c r="DJ36" s="29" t="str">
        <f t="shared" si="36"/>
        <v/>
      </c>
      <c r="DK36" s="29" t="str">
        <f t="shared" si="36"/>
        <v/>
      </c>
      <c r="DL36" s="29" t="str">
        <f t="shared" si="36"/>
        <v/>
      </c>
      <c r="DM36" s="29" t="str">
        <f t="shared" si="36"/>
        <v/>
      </c>
      <c r="DN36" s="29" t="str">
        <f t="shared" si="36"/>
        <v/>
      </c>
      <c r="DO36" s="29" t="str">
        <f t="shared" si="36"/>
        <v/>
      </c>
      <c r="DP36" s="29" t="str">
        <f t="shared" si="36"/>
        <v/>
      </c>
      <c r="DQ36" s="29" t="str">
        <f t="shared" si="36"/>
        <v/>
      </c>
      <c r="DR36" s="29" t="str">
        <f t="shared" si="36"/>
        <v/>
      </c>
      <c r="DS36" s="29" t="str">
        <f t="shared" si="36"/>
        <v/>
      </c>
      <c r="DT36" s="29" t="str">
        <f t="shared" si="36"/>
        <v/>
      </c>
      <c r="DU36" s="29" t="str">
        <f t="shared" si="36"/>
        <v/>
      </c>
      <c r="DV36" s="29" t="str">
        <f t="shared" si="36"/>
        <v/>
      </c>
      <c r="DW36" s="29" t="str">
        <f t="shared" si="36"/>
        <v/>
      </c>
      <c r="DX36" s="29" t="str">
        <f t="shared" si="36"/>
        <v/>
      </c>
      <c r="DY36" s="29" t="str">
        <f t="shared" si="36"/>
        <v/>
      </c>
      <c r="DZ36" s="29" t="str">
        <f t="shared" si="34"/>
        <v/>
      </c>
      <c r="EA36" s="29" t="str">
        <f t="shared" si="32"/>
        <v/>
      </c>
      <c r="EB36" s="29" t="str">
        <f t="shared" si="32"/>
        <v/>
      </c>
      <c r="EC36" s="29" t="str">
        <f t="shared" ref="EC36:GN39" si="39">IFERROR(EC$27*(1+$A36)^-EC$6,"")</f>
        <v/>
      </c>
      <c r="ED36" s="29" t="str">
        <f t="shared" si="39"/>
        <v/>
      </c>
      <c r="EE36" s="29" t="str">
        <f t="shared" si="39"/>
        <v/>
      </c>
      <c r="EF36" s="29" t="str">
        <f t="shared" si="39"/>
        <v/>
      </c>
      <c r="EG36" s="29" t="str">
        <f t="shared" si="39"/>
        <v/>
      </c>
      <c r="EH36" s="29" t="str">
        <f t="shared" si="39"/>
        <v/>
      </c>
      <c r="EI36" s="29" t="str">
        <f t="shared" si="39"/>
        <v/>
      </c>
      <c r="EJ36" s="29" t="str">
        <f t="shared" si="39"/>
        <v/>
      </c>
      <c r="EK36" s="29" t="str">
        <f t="shared" si="39"/>
        <v/>
      </c>
      <c r="EL36" s="29" t="str">
        <f t="shared" si="39"/>
        <v/>
      </c>
      <c r="EM36" s="29" t="str">
        <f t="shared" si="39"/>
        <v/>
      </c>
      <c r="EN36" s="29" t="str">
        <f t="shared" si="39"/>
        <v/>
      </c>
      <c r="EO36" s="29" t="str">
        <f t="shared" si="39"/>
        <v/>
      </c>
      <c r="EP36" s="29" t="str">
        <f t="shared" si="39"/>
        <v/>
      </c>
      <c r="EQ36" s="29" t="str">
        <f t="shared" si="39"/>
        <v/>
      </c>
      <c r="ER36" s="29" t="str">
        <f t="shared" si="39"/>
        <v/>
      </c>
      <c r="ES36" s="29" t="str">
        <f t="shared" si="39"/>
        <v/>
      </c>
      <c r="ET36" s="29" t="str">
        <f t="shared" si="39"/>
        <v/>
      </c>
      <c r="EU36" s="29" t="str">
        <f t="shared" si="39"/>
        <v/>
      </c>
      <c r="EV36" s="29" t="str">
        <f t="shared" si="39"/>
        <v/>
      </c>
      <c r="EW36" s="29" t="str">
        <f t="shared" si="39"/>
        <v/>
      </c>
      <c r="EX36" s="29" t="str">
        <f t="shared" si="39"/>
        <v/>
      </c>
      <c r="EY36" s="29" t="str">
        <f t="shared" si="39"/>
        <v/>
      </c>
      <c r="EZ36" s="29" t="str">
        <f t="shared" si="39"/>
        <v/>
      </c>
      <c r="FA36" s="29" t="str">
        <f t="shared" si="39"/>
        <v/>
      </c>
      <c r="FB36" s="29" t="str">
        <f t="shared" si="39"/>
        <v/>
      </c>
      <c r="FC36" s="29" t="str">
        <f t="shared" si="39"/>
        <v/>
      </c>
      <c r="FD36" s="29" t="str">
        <f t="shared" si="39"/>
        <v/>
      </c>
      <c r="FE36" s="29" t="str">
        <f t="shared" si="39"/>
        <v/>
      </c>
      <c r="FF36" s="29" t="str">
        <f t="shared" si="39"/>
        <v/>
      </c>
      <c r="FG36" s="29" t="str">
        <f t="shared" si="39"/>
        <v/>
      </c>
      <c r="FH36" s="29" t="str">
        <f t="shared" si="39"/>
        <v/>
      </c>
      <c r="FI36" s="29" t="str">
        <f t="shared" si="39"/>
        <v/>
      </c>
      <c r="FJ36" s="29" t="str">
        <f t="shared" si="39"/>
        <v/>
      </c>
      <c r="FK36" s="29" t="str">
        <f t="shared" si="39"/>
        <v/>
      </c>
      <c r="FL36" s="29" t="str">
        <f t="shared" si="39"/>
        <v/>
      </c>
      <c r="FM36" s="29" t="str">
        <f t="shared" si="39"/>
        <v/>
      </c>
      <c r="FN36" s="29" t="str">
        <f t="shared" si="39"/>
        <v/>
      </c>
      <c r="FO36" s="29" t="str">
        <f t="shared" si="39"/>
        <v/>
      </c>
      <c r="FP36" s="29" t="str">
        <f t="shared" si="39"/>
        <v/>
      </c>
      <c r="FQ36" s="29" t="str">
        <f t="shared" si="39"/>
        <v/>
      </c>
      <c r="FR36" s="29" t="str">
        <f t="shared" si="39"/>
        <v/>
      </c>
      <c r="FS36" s="29" t="str">
        <f t="shared" si="39"/>
        <v/>
      </c>
      <c r="FT36" s="29" t="str">
        <f t="shared" si="39"/>
        <v/>
      </c>
      <c r="FU36" s="29" t="str">
        <f t="shared" si="39"/>
        <v/>
      </c>
      <c r="FV36" s="29" t="str">
        <f t="shared" si="39"/>
        <v/>
      </c>
      <c r="FW36" s="29" t="str">
        <f t="shared" si="39"/>
        <v/>
      </c>
      <c r="FX36" s="29" t="str">
        <f t="shared" si="39"/>
        <v/>
      </c>
      <c r="FY36" s="29" t="str">
        <f t="shared" si="39"/>
        <v/>
      </c>
      <c r="FZ36" s="29" t="str">
        <f t="shared" si="39"/>
        <v/>
      </c>
      <c r="GA36" s="29" t="str">
        <f t="shared" si="39"/>
        <v/>
      </c>
      <c r="GB36" s="29" t="str">
        <f t="shared" si="39"/>
        <v/>
      </c>
      <c r="GC36" s="29" t="str">
        <f t="shared" si="39"/>
        <v/>
      </c>
      <c r="GD36" s="29" t="str">
        <f t="shared" si="39"/>
        <v/>
      </c>
      <c r="GE36" s="29" t="str">
        <f t="shared" si="39"/>
        <v/>
      </c>
      <c r="GF36" s="29" t="str">
        <f t="shared" si="39"/>
        <v/>
      </c>
      <c r="GG36" s="29" t="str">
        <f t="shared" si="39"/>
        <v/>
      </c>
      <c r="GH36" s="29" t="str">
        <f t="shared" si="39"/>
        <v/>
      </c>
      <c r="GI36" s="29" t="str">
        <f t="shared" si="39"/>
        <v/>
      </c>
      <c r="GJ36" s="29" t="str">
        <f t="shared" si="39"/>
        <v/>
      </c>
      <c r="GK36" s="29" t="str">
        <f t="shared" si="39"/>
        <v/>
      </c>
      <c r="GL36" s="29" t="str">
        <f t="shared" si="39"/>
        <v/>
      </c>
      <c r="GM36" s="29" t="str">
        <f t="shared" si="39"/>
        <v/>
      </c>
      <c r="GN36" s="29" t="str">
        <f t="shared" si="39"/>
        <v/>
      </c>
      <c r="GO36" s="29" t="str">
        <f t="shared" si="35"/>
        <v/>
      </c>
      <c r="GP36" s="29" t="str">
        <f t="shared" si="35"/>
        <v/>
      </c>
      <c r="GQ36" s="29" t="str">
        <f t="shared" si="35"/>
        <v/>
      </c>
      <c r="GR36" s="29" t="str">
        <f t="shared" si="35"/>
        <v/>
      </c>
      <c r="GS36" s="29" t="str">
        <f t="shared" si="35"/>
        <v/>
      </c>
      <c r="GT36" s="29" t="str">
        <f t="shared" si="35"/>
        <v/>
      </c>
      <c r="GU36" s="29" t="str">
        <f t="shared" si="35"/>
        <v/>
      </c>
      <c r="GV36" s="29" t="str">
        <f t="shared" si="35"/>
        <v/>
      </c>
      <c r="GW36" s="29" t="str">
        <f t="shared" si="35"/>
        <v/>
      </c>
      <c r="GX36" s="29" t="str">
        <f t="shared" si="35"/>
        <v/>
      </c>
      <c r="GY36" s="29" t="str">
        <f t="shared" si="35"/>
        <v/>
      </c>
      <c r="GZ36" s="29" t="str">
        <f t="shared" si="35"/>
        <v/>
      </c>
      <c r="HA36" s="29" t="str">
        <f t="shared" si="35"/>
        <v/>
      </c>
      <c r="HB36" s="29" t="str">
        <f t="shared" si="35"/>
        <v/>
      </c>
      <c r="HC36" s="29" t="str">
        <f t="shared" si="35"/>
        <v/>
      </c>
      <c r="HD36" s="29" t="str">
        <f t="shared" si="35"/>
        <v/>
      </c>
      <c r="HE36" s="29" t="str">
        <f t="shared" si="35"/>
        <v/>
      </c>
      <c r="HF36" s="29" t="str">
        <f t="shared" si="35"/>
        <v/>
      </c>
      <c r="HG36" s="29" t="str">
        <f t="shared" si="35"/>
        <v/>
      </c>
      <c r="HH36" s="29" t="str">
        <f t="shared" si="35"/>
        <v/>
      </c>
      <c r="HI36" s="29" t="str">
        <f t="shared" si="35"/>
        <v/>
      </c>
      <c r="HJ36" s="29" t="str">
        <f t="shared" si="35"/>
        <v/>
      </c>
      <c r="HK36" s="29" t="str">
        <f t="shared" si="35"/>
        <v/>
      </c>
      <c r="HL36" s="29" t="str">
        <f t="shared" si="35"/>
        <v/>
      </c>
      <c r="HM36" s="29" t="str">
        <f t="shared" si="35"/>
        <v/>
      </c>
      <c r="HN36" s="29" t="str">
        <f t="shared" si="35"/>
        <v/>
      </c>
      <c r="HO36" s="29" t="str">
        <f t="shared" si="35"/>
        <v/>
      </c>
      <c r="HP36" s="29" t="str">
        <f t="shared" si="35"/>
        <v/>
      </c>
      <c r="HQ36" s="29" t="str">
        <f t="shared" si="35"/>
        <v/>
      </c>
      <c r="HR36" s="29" t="str">
        <f t="shared" si="35"/>
        <v/>
      </c>
      <c r="HS36" s="29" t="str">
        <f t="shared" si="35"/>
        <v/>
      </c>
      <c r="HT36" s="29" t="str">
        <f t="shared" si="35"/>
        <v/>
      </c>
      <c r="HU36" s="29" t="str">
        <f t="shared" si="35"/>
        <v/>
      </c>
      <c r="HV36" s="29" t="str">
        <f t="shared" si="35"/>
        <v/>
      </c>
      <c r="HW36" s="29" t="str">
        <f t="shared" si="35"/>
        <v/>
      </c>
      <c r="HX36" s="29" t="str">
        <f t="shared" si="35"/>
        <v/>
      </c>
      <c r="HY36" s="29" t="str">
        <f t="shared" si="35"/>
        <v/>
      </c>
      <c r="HZ36" s="29" t="str">
        <f t="shared" si="35"/>
        <v/>
      </c>
      <c r="IA36" s="29" t="str">
        <f t="shared" si="35"/>
        <v/>
      </c>
      <c r="IB36" s="29" t="str">
        <f t="shared" si="35"/>
        <v/>
      </c>
      <c r="IC36" s="29" t="str">
        <f t="shared" si="35"/>
        <v/>
      </c>
      <c r="ID36" s="29" t="str">
        <f t="shared" si="35"/>
        <v/>
      </c>
      <c r="IE36" s="29" t="str">
        <f t="shared" si="35"/>
        <v/>
      </c>
      <c r="IF36" s="29" t="str">
        <f t="shared" si="35"/>
        <v/>
      </c>
      <c r="IG36" s="29" t="str">
        <f t="shared" si="35"/>
        <v/>
      </c>
      <c r="IH36" s="29" t="str">
        <f t="shared" si="35"/>
        <v/>
      </c>
      <c r="II36" s="29" t="str">
        <f t="shared" si="35"/>
        <v/>
      </c>
      <c r="IJ36" s="29" t="str">
        <f t="shared" si="35"/>
        <v/>
      </c>
      <c r="IK36" s="29" t="str">
        <f t="shared" si="35"/>
        <v/>
      </c>
      <c r="IL36" s="29" t="str">
        <f t="shared" si="35"/>
        <v/>
      </c>
      <c r="IM36" s="29" t="str">
        <f t="shared" si="35"/>
        <v/>
      </c>
      <c r="IN36" s="29" t="str">
        <f t="shared" si="35"/>
        <v/>
      </c>
      <c r="IO36" s="29" t="str">
        <f t="shared" si="35"/>
        <v/>
      </c>
      <c r="IP36" s="29" t="str">
        <f t="shared" si="35"/>
        <v/>
      </c>
      <c r="IQ36" s="29" t="str">
        <f t="shared" si="35"/>
        <v/>
      </c>
      <c r="IR36" s="29" t="str">
        <f t="shared" si="35"/>
        <v/>
      </c>
      <c r="IS36" s="29" t="str">
        <f t="shared" si="35"/>
        <v/>
      </c>
      <c r="IT36" s="29" t="str">
        <f t="shared" si="35"/>
        <v/>
      </c>
      <c r="IU36" s="29" t="str">
        <f t="shared" si="35"/>
        <v/>
      </c>
      <c r="IV36" s="29" t="str">
        <f t="shared" si="35"/>
        <v/>
      </c>
      <c r="IW36" s="29" t="str">
        <f t="shared" si="35"/>
        <v/>
      </c>
      <c r="IX36" s="29" t="str">
        <f t="shared" si="35"/>
        <v/>
      </c>
      <c r="IY36" s="29" t="str">
        <f t="shared" si="33"/>
        <v/>
      </c>
      <c r="IZ36" s="29" t="str">
        <f t="shared" si="33"/>
        <v/>
      </c>
      <c r="JA36" s="29" t="str">
        <f t="shared" si="33"/>
        <v/>
      </c>
      <c r="JB36" s="29" t="str">
        <f t="shared" si="33"/>
        <v/>
      </c>
      <c r="JC36" s="29" t="str">
        <f t="shared" si="33"/>
        <v/>
      </c>
      <c r="JD36" s="29" t="str">
        <f t="shared" si="33"/>
        <v/>
      </c>
      <c r="JE36" s="29" t="str">
        <f t="shared" si="33"/>
        <v/>
      </c>
      <c r="JF36" s="29" t="str">
        <f t="shared" si="33"/>
        <v/>
      </c>
      <c r="JG36" s="29" t="str">
        <f t="shared" si="33"/>
        <v/>
      </c>
      <c r="JH36" s="29" t="str">
        <f t="shared" si="33"/>
        <v/>
      </c>
      <c r="JI36" s="29" t="str">
        <f t="shared" si="33"/>
        <v/>
      </c>
      <c r="JJ36" s="29" t="str">
        <f t="shared" si="33"/>
        <v/>
      </c>
      <c r="JK36" s="29" t="str">
        <f t="shared" si="33"/>
        <v/>
      </c>
      <c r="JL36" s="29" t="str">
        <f t="shared" si="33"/>
        <v/>
      </c>
      <c r="JM36" s="29" t="str">
        <f t="shared" si="33"/>
        <v/>
      </c>
      <c r="JN36" s="29" t="str">
        <f t="shared" si="33"/>
        <v/>
      </c>
      <c r="JO36" s="29" t="str">
        <f t="shared" si="33"/>
        <v/>
      </c>
      <c r="JP36" s="29" t="str">
        <f t="shared" si="33"/>
        <v/>
      </c>
      <c r="JQ36" s="29" t="str">
        <f t="shared" si="33"/>
        <v/>
      </c>
      <c r="JR36" s="29" t="str">
        <f t="shared" si="33"/>
        <v/>
      </c>
      <c r="JS36" s="29" t="str">
        <f t="shared" si="33"/>
        <v/>
      </c>
      <c r="JT36" s="29" t="str">
        <f t="shared" si="33"/>
        <v/>
      </c>
      <c r="JU36" s="29" t="str">
        <f t="shared" si="33"/>
        <v/>
      </c>
      <c r="JV36" s="29" t="str">
        <f t="shared" si="33"/>
        <v/>
      </c>
      <c r="JW36" s="29" t="str">
        <f t="shared" si="33"/>
        <v/>
      </c>
      <c r="JX36" s="29" t="str">
        <f t="shared" si="33"/>
        <v/>
      </c>
      <c r="JY36" s="29" t="str">
        <f t="shared" si="33"/>
        <v/>
      </c>
      <c r="JZ36" s="29" t="str">
        <f t="shared" si="33"/>
        <v/>
      </c>
      <c r="KA36" s="29" t="str">
        <f t="shared" si="33"/>
        <v/>
      </c>
      <c r="KB36" s="29" t="str">
        <f t="shared" si="33"/>
        <v/>
      </c>
      <c r="KC36" s="29" t="str">
        <f t="shared" si="33"/>
        <v/>
      </c>
      <c r="KD36" s="29" t="str">
        <f t="shared" si="33"/>
        <v/>
      </c>
      <c r="KE36" s="29" t="str">
        <f t="shared" si="33"/>
        <v/>
      </c>
      <c r="KF36" s="29" t="str">
        <f t="shared" si="33"/>
        <v/>
      </c>
      <c r="KG36" s="29" t="str">
        <f t="shared" si="33"/>
        <v/>
      </c>
      <c r="KH36" s="29" t="str">
        <f t="shared" si="33"/>
        <v/>
      </c>
      <c r="KI36" s="29" t="str">
        <f t="shared" si="33"/>
        <v/>
      </c>
      <c r="KJ36" s="29" t="str">
        <f t="shared" si="33"/>
        <v/>
      </c>
      <c r="KK36" s="29" t="str">
        <f t="shared" si="33"/>
        <v/>
      </c>
      <c r="KL36" s="29" t="str">
        <f t="shared" si="33"/>
        <v/>
      </c>
      <c r="KM36" s="29" t="str">
        <f t="shared" si="33"/>
        <v/>
      </c>
      <c r="KN36" s="29" t="str">
        <f t="shared" si="33"/>
        <v/>
      </c>
      <c r="KO36" s="29" t="str">
        <f t="shared" si="33"/>
        <v/>
      </c>
      <c r="KP36" s="29" t="str">
        <f t="shared" si="29"/>
        <v/>
      </c>
    </row>
    <row r="37" spans="1:302" customFormat="1" hidden="1" outlineLevel="1" x14ac:dyDescent="0.2">
      <c r="A37" s="33">
        <f t="shared" si="38"/>
        <v>1.4999999999999999E-2</v>
      </c>
      <c r="B37" s="29" t="str">
        <f t="shared" si="30"/>
        <v/>
      </c>
      <c r="C37" s="29" t="str">
        <f t="shared" si="37"/>
        <v/>
      </c>
      <c r="D37" s="29" t="str">
        <f t="shared" si="37"/>
        <v/>
      </c>
      <c r="E37" s="29" t="str">
        <f t="shared" si="37"/>
        <v/>
      </c>
      <c r="F37" s="29" t="str">
        <f t="shared" si="37"/>
        <v/>
      </c>
      <c r="G37" s="29" t="str">
        <f t="shared" si="37"/>
        <v/>
      </c>
      <c r="H37" s="29" t="str">
        <f t="shared" si="37"/>
        <v/>
      </c>
      <c r="I37" s="29" t="str">
        <f t="shared" si="37"/>
        <v/>
      </c>
      <c r="J37" s="29" t="str">
        <f t="shared" si="37"/>
        <v/>
      </c>
      <c r="K37" s="29" t="str">
        <f t="shared" si="37"/>
        <v/>
      </c>
      <c r="L37" s="29" t="str">
        <f t="shared" si="37"/>
        <v/>
      </c>
      <c r="M37" s="29" t="str">
        <f t="shared" si="37"/>
        <v/>
      </c>
      <c r="N37" s="29" t="str">
        <f t="shared" si="37"/>
        <v/>
      </c>
      <c r="O37" s="29" t="str">
        <f t="shared" si="37"/>
        <v/>
      </c>
      <c r="P37" s="29" t="str">
        <f t="shared" si="37"/>
        <v/>
      </c>
      <c r="Q37" s="29" t="str">
        <f t="shared" si="37"/>
        <v/>
      </c>
      <c r="R37" s="29" t="str">
        <f t="shared" si="37"/>
        <v/>
      </c>
      <c r="S37" s="29" t="str">
        <f t="shared" si="37"/>
        <v/>
      </c>
      <c r="T37" s="29" t="str">
        <f t="shared" si="37"/>
        <v/>
      </c>
      <c r="U37" s="29" t="str">
        <f t="shared" si="37"/>
        <v/>
      </c>
      <c r="V37" s="29" t="str">
        <f t="shared" si="37"/>
        <v/>
      </c>
      <c r="W37" s="29" t="str">
        <f t="shared" si="37"/>
        <v/>
      </c>
      <c r="X37" s="29" t="str">
        <f t="shared" si="37"/>
        <v/>
      </c>
      <c r="Y37" s="29" t="str">
        <f t="shared" si="37"/>
        <v/>
      </c>
      <c r="Z37" s="29" t="str">
        <f t="shared" si="37"/>
        <v/>
      </c>
      <c r="AA37" s="29" t="str">
        <f t="shared" si="37"/>
        <v/>
      </c>
      <c r="AB37" s="29" t="str">
        <f t="shared" si="37"/>
        <v/>
      </c>
      <c r="AC37" s="29" t="str">
        <f t="shared" si="37"/>
        <v/>
      </c>
      <c r="AD37" s="29" t="str">
        <f t="shared" si="37"/>
        <v/>
      </c>
      <c r="AE37" s="29" t="str">
        <f t="shared" si="37"/>
        <v/>
      </c>
      <c r="AF37" s="29" t="str">
        <f t="shared" si="37"/>
        <v/>
      </c>
      <c r="AG37" s="29" t="str">
        <f t="shared" si="37"/>
        <v/>
      </c>
      <c r="AH37" s="29" t="str">
        <f t="shared" si="37"/>
        <v/>
      </c>
      <c r="AI37" s="29" t="str">
        <f t="shared" si="37"/>
        <v/>
      </c>
      <c r="AJ37" s="29" t="str">
        <f t="shared" si="37"/>
        <v/>
      </c>
      <c r="AK37" s="29" t="str">
        <f t="shared" si="37"/>
        <v/>
      </c>
      <c r="AL37" s="29" t="str">
        <f t="shared" si="37"/>
        <v/>
      </c>
      <c r="AM37" s="29" t="str">
        <f t="shared" si="37"/>
        <v/>
      </c>
      <c r="AN37" s="29" t="str">
        <f t="shared" si="37"/>
        <v/>
      </c>
      <c r="AO37" s="29" t="str">
        <f t="shared" si="37"/>
        <v/>
      </c>
      <c r="AP37" s="29" t="str">
        <f t="shared" si="37"/>
        <v/>
      </c>
      <c r="AQ37" s="29" t="str">
        <f t="shared" si="37"/>
        <v/>
      </c>
      <c r="AR37" s="29" t="str">
        <f t="shared" si="37"/>
        <v/>
      </c>
      <c r="AS37" s="29" t="str">
        <f t="shared" si="37"/>
        <v/>
      </c>
      <c r="AT37" s="29" t="str">
        <f t="shared" si="37"/>
        <v/>
      </c>
      <c r="AU37" s="29" t="str">
        <f t="shared" si="37"/>
        <v/>
      </c>
      <c r="AV37" s="29" t="str">
        <f t="shared" si="37"/>
        <v/>
      </c>
      <c r="AW37" s="29" t="str">
        <f t="shared" si="37"/>
        <v/>
      </c>
      <c r="AX37" s="29" t="str">
        <f t="shared" si="37"/>
        <v/>
      </c>
      <c r="AY37" s="29" t="str">
        <f t="shared" si="37"/>
        <v/>
      </c>
      <c r="AZ37" s="29" t="str">
        <f t="shared" si="37"/>
        <v/>
      </c>
      <c r="BA37" s="29" t="str">
        <f t="shared" si="37"/>
        <v/>
      </c>
      <c r="BB37" s="29" t="str">
        <f t="shared" si="37"/>
        <v/>
      </c>
      <c r="BC37" s="29" t="str">
        <f t="shared" si="37"/>
        <v/>
      </c>
      <c r="BD37" s="29" t="str">
        <f t="shared" si="37"/>
        <v/>
      </c>
      <c r="BE37" s="29" t="str">
        <f t="shared" si="37"/>
        <v/>
      </c>
      <c r="BF37" s="29" t="str">
        <f t="shared" si="37"/>
        <v/>
      </c>
      <c r="BG37" s="29" t="str">
        <f t="shared" si="37"/>
        <v/>
      </c>
      <c r="BH37" s="29" t="str">
        <f t="shared" si="37"/>
        <v/>
      </c>
      <c r="BI37" s="29" t="str">
        <f t="shared" si="37"/>
        <v/>
      </c>
      <c r="BJ37" s="29" t="str">
        <f t="shared" si="37"/>
        <v/>
      </c>
      <c r="BK37" s="29" t="str">
        <f t="shared" si="37"/>
        <v/>
      </c>
      <c r="BL37" s="29" t="str">
        <f t="shared" si="37"/>
        <v/>
      </c>
      <c r="BM37" s="29" t="str">
        <f t="shared" si="37"/>
        <v/>
      </c>
      <c r="BN37" s="29" t="str">
        <f t="shared" si="37"/>
        <v/>
      </c>
      <c r="BO37" s="29" t="str">
        <f t="shared" si="36"/>
        <v/>
      </c>
      <c r="BP37" s="29" t="str">
        <f t="shared" si="36"/>
        <v/>
      </c>
      <c r="BQ37" s="29" t="str">
        <f t="shared" si="36"/>
        <v/>
      </c>
      <c r="BR37" s="29" t="str">
        <f t="shared" si="36"/>
        <v/>
      </c>
      <c r="BS37" s="29" t="str">
        <f t="shared" si="36"/>
        <v/>
      </c>
      <c r="BT37" s="29" t="str">
        <f t="shared" si="36"/>
        <v/>
      </c>
      <c r="BU37" s="29" t="str">
        <f t="shared" si="36"/>
        <v/>
      </c>
      <c r="BV37" s="29" t="str">
        <f t="shared" si="36"/>
        <v/>
      </c>
      <c r="BW37" s="29" t="str">
        <f t="shared" si="36"/>
        <v/>
      </c>
      <c r="BX37" s="29" t="str">
        <f t="shared" si="36"/>
        <v/>
      </c>
      <c r="BY37" s="29" t="str">
        <f t="shared" si="36"/>
        <v/>
      </c>
      <c r="BZ37" s="29" t="str">
        <f t="shared" si="36"/>
        <v/>
      </c>
      <c r="CA37" s="29" t="str">
        <f t="shared" si="36"/>
        <v/>
      </c>
      <c r="CB37" s="29" t="str">
        <f t="shared" si="36"/>
        <v/>
      </c>
      <c r="CC37" s="29" t="str">
        <f t="shared" si="36"/>
        <v/>
      </c>
      <c r="CD37" s="29" t="str">
        <f t="shared" si="36"/>
        <v/>
      </c>
      <c r="CE37" s="29" t="str">
        <f t="shared" si="36"/>
        <v/>
      </c>
      <c r="CF37" s="29" t="str">
        <f t="shared" si="36"/>
        <v/>
      </c>
      <c r="CG37" s="29" t="str">
        <f t="shared" si="36"/>
        <v/>
      </c>
      <c r="CH37" s="29" t="str">
        <f t="shared" si="36"/>
        <v/>
      </c>
      <c r="CI37" s="29" t="str">
        <f t="shared" si="36"/>
        <v/>
      </c>
      <c r="CJ37" s="29" t="str">
        <f t="shared" si="36"/>
        <v/>
      </c>
      <c r="CK37" s="29" t="str">
        <f t="shared" si="36"/>
        <v/>
      </c>
      <c r="CL37" s="29" t="str">
        <f t="shared" si="36"/>
        <v/>
      </c>
      <c r="CM37" s="29" t="str">
        <f t="shared" si="36"/>
        <v/>
      </c>
      <c r="CN37" s="29" t="str">
        <f t="shared" si="36"/>
        <v/>
      </c>
      <c r="CO37" s="29" t="str">
        <f t="shared" si="36"/>
        <v/>
      </c>
      <c r="CP37" s="29" t="str">
        <f t="shared" si="36"/>
        <v/>
      </c>
      <c r="CQ37" s="29" t="str">
        <f t="shared" si="36"/>
        <v/>
      </c>
      <c r="CR37" s="29" t="str">
        <f t="shared" si="36"/>
        <v/>
      </c>
      <c r="CS37" s="29" t="str">
        <f t="shared" si="36"/>
        <v/>
      </c>
      <c r="CT37" s="29" t="str">
        <f t="shared" si="36"/>
        <v/>
      </c>
      <c r="CU37" s="29" t="str">
        <f t="shared" si="36"/>
        <v/>
      </c>
      <c r="CV37" s="29" t="str">
        <f t="shared" si="36"/>
        <v/>
      </c>
      <c r="CW37" s="29" t="str">
        <f t="shared" si="36"/>
        <v/>
      </c>
      <c r="CX37" s="29" t="str">
        <f t="shared" si="36"/>
        <v/>
      </c>
      <c r="CY37" s="29" t="str">
        <f t="shared" si="36"/>
        <v/>
      </c>
      <c r="CZ37" s="29" t="str">
        <f t="shared" si="36"/>
        <v/>
      </c>
      <c r="DA37" s="29" t="str">
        <f t="shared" si="36"/>
        <v/>
      </c>
      <c r="DB37" s="29" t="str">
        <f t="shared" si="36"/>
        <v/>
      </c>
      <c r="DC37" s="29" t="str">
        <f t="shared" si="36"/>
        <v/>
      </c>
      <c r="DD37" s="29" t="str">
        <f t="shared" si="36"/>
        <v/>
      </c>
      <c r="DE37" s="29" t="str">
        <f t="shared" si="36"/>
        <v/>
      </c>
      <c r="DF37" s="29" t="str">
        <f t="shared" si="36"/>
        <v/>
      </c>
      <c r="DG37" s="29" t="str">
        <f t="shared" si="36"/>
        <v/>
      </c>
      <c r="DH37" s="29" t="str">
        <f t="shared" si="36"/>
        <v/>
      </c>
      <c r="DI37" s="29" t="str">
        <f t="shared" si="36"/>
        <v/>
      </c>
      <c r="DJ37" s="29" t="str">
        <f t="shared" si="36"/>
        <v/>
      </c>
      <c r="DK37" s="29" t="str">
        <f t="shared" si="36"/>
        <v/>
      </c>
      <c r="DL37" s="29" t="str">
        <f t="shared" si="36"/>
        <v/>
      </c>
      <c r="DM37" s="29" t="str">
        <f t="shared" si="36"/>
        <v/>
      </c>
      <c r="DN37" s="29" t="str">
        <f t="shared" si="36"/>
        <v/>
      </c>
      <c r="DO37" s="29" t="str">
        <f t="shared" si="36"/>
        <v/>
      </c>
      <c r="DP37" s="29" t="str">
        <f t="shared" si="36"/>
        <v/>
      </c>
      <c r="DQ37" s="29" t="str">
        <f t="shared" si="36"/>
        <v/>
      </c>
      <c r="DR37" s="29" t="str">
        <f t="shared" si="36"/>
        <v/>
      </c>
      <c r="DS37" s="29" t="str">
        <f t="shared" si="36"/>
        <v/>
      </c>
      <c r="DT37" s="29" t="str">
        <f t="shared" si="36"/>
        <v/>
      </c>
      <c r="DU37" s="29" t="str">
        <f t="shared" si="36"/>
        <v/>
      </c>
      <c r="DV37" s="29" t="str">
        <f t="shared" si="36"/>
        <v/>
      </c>
      <c r="DW37" s="29" t="str">
        <f t="shared" si="36"/>
        <v/>
      </c>
      <c r="DX37" s="29" t="str">
        <f t="shared" si="36"/>
        <v/>
      </c>
      <c r="DY37" s="29" t="str">
        <f t="shared" si="36"/>
        <v/>
      </c>
      <c r="DZ37" s="29" t="str">
        <f t="shared" si="34"/>
        <v/>
      </c>
      <c r="EA37" s="29" t="str">
        <f t="shared" ref="EA37:GL40" si="40">IFERROR(EA$27*(1+$A37)^-EA$6,"")</f>
        <v/>
      </c>
      <c r="EB37" s="29" t="str">
        <f t="shared" si="40"/>
        <v/>
      </c>
      <c r="EC37" s="29" t="str">
        <f t="shared" si="40"/>
        <v/>
      </c>
      <c r="ED37" s="29" t="str">
        <f t="shared" si="40"/>
        <v/>
      </c>
      <c r="EE37" s="29" t="str">
        <f t="shared" si="40"/>
        <v/>
      </c>
      <c r="EF37" s="29" t="str">
        <f t="shared" si="40"/>
        <v/>
      </c>
      <c r="EG37" s="29" t="str">
        <f t="shared" si="40"/>
        <v/>
      </c>
      <c r="EH37" s="29" t="str">
        <f t="shared" si="40"/>
        <v/>
      </c>
      <c r="EI37" s="29" t="str">
        <f t="shared" si="40"/>
        <v/>
      </c>
      <c r="EJ37" s="29" t="str">
        <f t="shared" si="40"/>
        <v/>
      </c>
      <c r="EK37" s="29" t="str">
        <f t="shared" si="40"/>
        <v/>
      </c>
      <c r="EL37" s="29" t="str">
        <f t="shared" si="40"/>
        <v/>
      </c>
      <c r="EM37" s="29" t="str">
        <f t="shared" si="40"/>
        <v/>
      </c>
      <c r="EN37" s="29" t="str">
        <f t="shared" si="40"/>
        <v/>
      </c>
      <c r="EO37" s="29" t="str">
        <f t="shared" si="40"/>
        <v/>
      </c>
      <c r="EP37" s="29" t="str">
        <f t="shared" si="40"/>
        <v/>
      </c>
      <c r="EQ37" s="29" t="str">
        <f t="shared" si="40"/>
        <v/>
      </c>
      <c r="ER37" s="29" t="str">
        <f t="shared" si="40"/>
        <v/>
      </c>
      <c r="ES37" s="29" t="str">
        <f t="shared" si="40"/>
        <v/>
      </c>
      <c r="ET37" s="29" t="str">
        <f t="shared" si="40"/>
        <v/>
      </c>
      <c r="EU37" s="29" t="str">
        <f t="shared" si="40"/>
        <v/>
      </c>
      <c r="EV37" s="29" t="str">
        <f t="shared" si="40"/>
        <v/>
      </c>
      <c r="EW37" s="29" t="str">
        <f t="shared" si="40"/>
        <v/>
      </c>
      <c r="EX37" s="29" t="str">
        <f t="shared" si="40"/>
        <v/>
      </c>
      <c r="EY37" s="29" t="str">
        <f t="shared" si="40"/>
        <v/>
      </c>
      <c r="EZ37" s="29" t="str">
        <f t="shared" si="40"/>
        <v/>
      </c>
      <c r="FA37" s="29" t="str">
        <f t="shared" si="40"/>
        <v/>
      </c>
      <c r="FB37" s="29" t="str">
        <f t="shared" si="40"/>
        <v/>
      </c>
      <c r="FC37" s="29" t="str">
        <f t="shared" si="40"/>
        <v/>
      </c>
      <c r="FD37" s="29" t="str">
        <f t="shared" si="40"/>
        <v/>
      </c>
      <c r="FE37" s="29" t="str">
        <f t="shared" si="40"/>
        <v/>
      </c>
      <c r="FF37" s="29" t="str">
        <f t="shared" si="40"/>
        <v/>
      </c>
      <c r="FG37" s="29" t="str">
        <f t="shared" si="40"/>
        <v/>
      </c>
      <c r="FH37" s="29" t="str">
        <f t="shared" si="40"/>
        <v/>
      </c>
      <c r="FI37" s="29" t="str">
        <f t="shared" si="40"/>
        <v/>
      </c>
      <c r="FJ37" s="29" t="str">
        <f t="shared" si="40"/>
        <v/>
      </c>
      <c r="FK37" s="29" t="str">
        <f t="shared" si="40"/>
        <v/>
      </c>
      <c r="FL37" s="29" t="str">
        <f t="shared" si="40"/>
        <v/>
      </c>
      <c r="FM37" s="29" t="str">
        <f t="shared" si="40"/>
        <v/>
      </c>
      <c r="FN37" s="29" t="str">
        <f t="shared" si="40"/>
        <v/>
      </c>
      <c r="FO37" s="29" t="str">
        <f t="shared" si="40"/>
        <v/>
      </c>
      <c r="FP37" s="29" t="str">
        <f t="shared" si="40"/>
        <v/>
      </c>
      <c r="FQ37" s="29" t="str">
        <f t="shared" si="40"/>
        <v/>
      </c>
      <c r="FR37" s="29" t="str">
        <f t="shared" si="40"/>
        <v/>
      </c>
      <c r="FS37" s="29" t="str">
        <f t="shared" si="40"/>
        <v/>
      </c>
      <c r="FT37" s="29" t="str">
        <f t="shared" si="40"/>
        <v/>
      </c>
      <c r="FU37" s="29" t="str">
        <f t="shared" si="40"/>
        <v/>
      </c>
      <c r="FV37" s="29" t="str">
        <f t="shared" si="40"/>
        <v/>
      </c>
      <c r="FW37" s="29" t="str">
        <f t="shared" si="40"/>
        <v/>
      </c>
      <c r="FX37" s="29" t="str">
        <f t="shared" si="40"/>
        <v/>
      </c>
      <c r="FY37" s="29" t="str">
        <f t="shared" si="40"/>
        <v/>
      </c>
      <c r="FZ37" s="29" t="str">
        <f t="shared" si="40"/>
        <v/>
      </c>
      <c r="GA37" s="29" t="str">
        <f t="shared" si="40"/>
        <v/>
      </c>
      <c r="GB37" s="29" t="str">
        <f t="shared" si="40"/>
        <v/>
      </c>
      <c r="GC37" s="29" t="str">
        <f t="shared" si="40"/>
        <v/>
      </c>
      <c r="GD37" s="29" t="str">
        <f t="shared" si="40"/>
        <v/>
      </c>
      <c r="GE37" s="29" t="str">
        <f t="shared" si="40"/>
        <v/>
      </c>
      <c r="GF37" s="29" t="str">
        <f t="shared" si="40"/>
        <v/>
      </c>
      <c r="GG37" s="29" t="str">
        <f t="shared" si="40"/>
        <v/>
      </c>
      <c r="GH37" s="29" t="str">
        <f t="shared" si="40"/>
        <v/>
      </c>
      <c r="GI37" s="29" t="str">
        <f t="shared" si="40"/>
        <v/>
      </c>
      <c r="GJ37" s="29" t="str">
        <f t="shared" si="40"/>
        <v/>
      </c>
      <c r="GK37" s="29" t="str">
        <f t="shared" si="40"/>
        <v/>
      </c>
      <c r="GL37" s="29" t="str">
        <f t="shared" si="40"/>
        <v/>
      </c>
      <c r="GM37" s="29" t="str">
        <f t="shared" si="39"/>
        <v/>
      </c>
      <c r="GN37" s="29" t="str">
        <f t="shared" si="39"/>
        <v/>
      </c>
      <c r="GO37" s="29" t="str">
        <f t="shared" si="35"/>
        <v/>
      </c>
      <c r="GP37" s="29" t="str">
        <f t="shared" ref="GP37:JA43" si="41">IFERROR(GP$27*(1+$A37)^-GP$6,"")</f>
        <v/>
      </c>
      <c r="GQ37" s="29" t="str">
        <f t="shared" si="41"/>
        <v/>
      </c>
      <c r="GR37" s="29" t="str">
        <f t="shared" si="41"/>
        <v/>
      </c>
      <c r="GS37" s="29" t="str">
        <f t="shared" si="41"/>
        <v/>
      </c>
      <c r="GT37" s="29" t="str">
        <f t="shared" si="41"/>
        <v/>
      </c>
      <c r="GU37" s="29" t="str">
        <f t="shared" si="41"/>
        <v/>
      </c>
      <c r="GV37" s="29" t="str">
        <f t="shared" si="41"/>
        <v/>
      </c>
      <c r="GW37" s="29" t="str">
        <f t="shared" si="41"/>
        <v/>
      </c>
      <c r="GX37" s="29" t="str">
        <f t="shared" si="41"/>
        <v/>
      </c>
      <c r="GY37" s="29" t="str">
        <f t="shared" si="41"/>
        <v/>
      </c>
      <c r="GZ37" s="29" t="str">
        <f t="shared" si="41"/>
        <v/>
      </c>
      <c r="HA37" s="29" t="str">
        <f t="shared" si="41"/>
        <v/>
      </c>
      <c r="HB37" s="29" t="str">
        <f t="shared" si="41"/>
        <v/>
      </c>
      <c r="HC37" s="29" t="str">
        <f t="shared" si="41"/>
        <v/>
      </c>
      <c r="HD37" s="29" t="str">
        <f t="shared" si="41"/>
        <v/>
      </c>
      <c r="HE37" s="29" t="str">
        <f t="shared" si="41"/>
        <v/>
      </c>
      <c r="HF37" s="29" t="str">
        <f t="shared" si="41"/>
        <v/>
      </c>
      <c r="HG37" s="29" t="str">
        <f t="shared" si="41"/>
        <v/>
      </c>
      <c r="HH37" s="29" t="str">
        <f t="shared" si="41"/>
        <v/>
      </c>
      <c r="HI37" s="29" t="str">
        <f t="shared" si="41"/>
        <v/>
      </c>
      <c r="HJ37" s="29" t="str">
        <f t="shared" si="41"/>
        <v/>
      </c>
      <c r="HK37" s="29" t="str">
        <f t="shared" si="41"/>
        <v/>
      </c>
      <c r="HL37" s="29" t="str">
        <f t="shared" si="41"/>
        <v/>
      </c>
      <c r="HM37" s="29" t="str">
        <f t="shared" si="41"/>
        <v/>
      </c>
      <c r="HN37" s="29" t="str">
        <f t="shared" si="41"/>
        <v/>
      </c>
      <c r="HO37" s="29" t="str">
        <f t="shared" si="41"/>
        <v/>
      </c>
      <c r="HP37" s="29" t="str">
        <f t="shared" si="41"/>
        <v/>
      </c>
      <c r="HQ37" s="29" t="str">
        <f t="shared" si="41"/>
        <v/>
      </c>
      <c r="HR37" s="29" t="str">
        <f t="shared" si="41"/>
        <v/>
      </c>
      <c r="HS37" s="29" t="str">
        <f t="shared" si="41"/>
        <v/>
      </c>
      <c r="HT37" s="29" t="str">
        <f t="shared" si="41"/>
        <v/>
      </c>
      <c r="HU37" s="29" t="str">
        <f t="shared" si="41"/>
        <v/>
      </c>
      <c r="HV37" s="29" t="str">
        <f t="shared" si="41"/>
        <v/>
      </c>
      <c r="HW37" s="29" t="str">
        <f t="shared" si="41"/>
        <v/>
      </c>
      <c r="HX37" s="29" t="str">
        <f t="shared" si="41"/>
        <v/>
      </c>
      <c r="HY37" s="29" t="str">
        <f t="shared" si="41"/>
        <v/>
      </c>
      <c r="HZ37" s="29" t="str">
        <f t="shared" si="41"/>
        <v/>
      </c>
      <c r="IA37" s="29" t="str">
        <f t="shared" si="41"/>
        <v/>
      </c>
      <c r="IB37" s="29" t="str">
        <f t="shared" si="41"/>
        <v/>
      </c>
      <c r="IC37" s="29" t="str">
        <f t="shared" si="41"/>
        <v/>
      </c>
      <c r="ID37" s="29" t="str">
        <f t="shared" si="41"/>
        <v/>
      </c>
      <c r="IE37" s="29" t="str">
        <f t="shared" si="41"/>
        <v/>
      </c>
      <c r="IF37" s="29" t="str">
        <f t="shared" si="41"/>
        <v/>
      </c>
      <c r="IG37" s="29" t="str">
        <f t="shared" si="41"/>
        <v/>
      </c>
      <c r="IH37" s="29" t="str">
        <f t="shared" si="41"/>
        <v/>
      </c>
      <c r="II37" s="29" t="str">
        <f t="shared" si="41"/>
        <v/>
      </c>
      <c r="IJ37" s="29" t="str">
        <f t="shared" si="41"/>
        <v/>
      </c>
      <c r="IK37" s="29" t="str">
        <f t="shared" si="41"/>
        <v/>
      </c>
      <c r="IL37" s="29" t="str">
        <f t="shared" si="41"/>
        <v/>
      </c>
      <c r="IM37" s="29" t="str">
        <f t="shared" si="41"/>
        <v/>
      </c>
      <c r="IN37" s="29" t="str">
        <f t="shared" si="41"/>
        <v/>
      </c>
      <c r="IO37" s="29" t="str">
        <f t="shared" si="41"/>
        <v/>
      </c>
      <c r="IP37" s="29" t="str">
        <f t="shared" si="41"/>
        <v/>
      </c>
      <c r="IQ37" s="29" t="str">
        <f t="shared" si="41"/>
        <v/>
      </c>
      <c r="IR37" s="29" t="str">
        <f t="shared" si="41"/>
        <v/>
      </c>
      <c r="IS37" s="29" t="str">
        <f t="shared" si="41"/>
        <v/>
      </c>
      <c r="IT37" s="29" t="str">
        <f t="shared" si="41"/>
        <v/>
      </c>
      <c r="IU37" s="29" t="str">
        <f t="shared" si="41"/>
        <v/>
      </c>
      <c r="IV37" s="29" t="str">
        <f t="shared" si="41"/>
        <v/>
      </c>
      <c r="IW37" s="29" t="str">
        <f t="shared" si="41"/>
        <v/>
      </c>
      <c r="IX37" s="29" t="str">
        <f t="shared" si="41"/>
        <v/>
      </c>
      <c r="IY37" s="29" t="str">
        <f t="shared" si="41"/>
        <v/>
      </c>
      <c r="IZ37" s="29" t="str">
        <f t="shared" si="41"/>
        <v/>
      </c>
      <c r="JA37" s="29" t="str">
        <f t="shared" si="41"/>
        <v/>
      </c>
      <c r="JB37" s="29" t="str">
        <f t="shared" si="33"/>
        <v/>
      </c>
      <c r="JC37" s="29" t="str">
        <f t="shared" si="33"/>
        <v/>
      </c>
      <c r="JD37" s="29" t="str">
        <f t="shared" si="33"/>
        <v/>
      </c>
      <c r="JE37" s="29" t="str">
        <f t="shared" si="33"/>
        <v/>
      </c>
      <c r="JF37" s="29" t="str">
        <f t="shared" si="33"/>
        <v/>
      </c>
      <c r="JG37" s="29" t="str">
        <f t="shared" si="33"/>
        <v/>
      </c>
      <c r="JH37" s="29" t="str">
        <f t="shared" si="33"/>
        <v/>
      </c>
      <c r="JI37" s="29" t="str">
        <f t="shared" si="33"/>
        <v/>
      </c>
      <c r="JJ37" s="29" t="str">
        <f t="shared" si="33"/>
        <v/>
      </c>
      <c r="JK37" s="29" t="str">
        <f t="shared" si="33"/>
        <v/>
      </c>
      <c r="JL37" s="29" t="str">
        <f t="shared" si="33"/>
        <v/>
      </c>
      <c r="JM37" s="29" t="str">
        <f t="shared" si="33"/>
        <v/>
      </c>
      <c r="JN37" s="29" t="str">
        <f t="shared" si="33"/>
        <v/>
      </c>
      <c r="JO37" s="29" t="str">
        <f t="shared" si="33"/>
        <v/>
      </c>
      <c r="JP37" s="29" t="str">
        <f t="shared" si="33"/>
        <v/>
      </c>
      <c r="JQ37" s="29" t="str">
        <f t="shared" si="33"/>
        <v/>
      </c>
      <c r="JR37" s="29" t="str">
        <f t="shared" si="33"/>
        <v/>
      </c>
      <c r="JS37" s="29" t="str">
        <f t="shared" si="33"/>
        <v/>
      </c>
      <c r="JT37" s="29" t="str">
        <f t="shared" si="33"/>
        <v/>
      </c>
      <c r="JU37" s="29" t="str">
        <f t="shared" si="33"/>
        <v/>
      </c>
      <c r="JV37" s="29" t="str">
        <f t="shared" si="33"/>
        <v/>
      </c>
      <c r="JW37" s="29" t="str">
        <f t="shared" si="33"/>
        <v/>
      </c>
      <c r="JX37" s="29" t="str">
        <f t="shared" si="33"/>
        <v/>
      </c>
      <c r="JY37" s="29" t="str">
        <f t="shared" si="33"/>
        <v/>
      </c>
      <c r="JZ37" s="29" t="str">
        <f t="shared" si="33"/>
        <v/>
      </c>
      <c r="KA37" s="29" t="str">
        <f t="shared" si="33"/>
        <v/>
      </c>
      <c r="KB37" s="29" t="str">
        <f t="shared" si="33"/>
        <v/>
      </c>
      <c r="KC37" s="29" t="str">
        <f t="shared" si="33"/>
        <v/>
      </c>
      <c r="KD37" s="29" t="str">
        <f t="shared" si="33"/>
        <v/>
      </c>
      <c r="KE37" s="29" t="str">
        <f t="shared" si="33"/>
        <v/>
      </c>
      <c r="KF37" s="29" t="str">
        <f t="shared" si="33"/>
        <v/>
      </c>
      <c r="KG37" s="29" t="str">
        <f t="shared" si="33"/>
        <v/>
      </c>
      <c r="KH37" s="29" t="str">
        <f t="shared" si="33"/>
        <v/>
      </c>
      <c r="KI37" s="29" t="str">
        <f t="shared" si="33"/>
        <v/>
      </c>
      <c r="KJ37" s="29" t="str">
        <f t="shared" si="33"/>
        <v/>
      </c>
      <c r="KK37" s="29" t="str">
        <f t="shared" si="33"/>
        <v/>
      </c>
      <c r="KL37" s="29" t="str">
        <f t="shared" si="33"/>
        <v/>
      </c>
      <c r="KM37" s="29" t="str">
        <f t="shared" si="33"/>
        <v/>
      </c>
      <c r="KN37" s="29" t="str">
        <f t="shared" si="33"/>
        <v/>
      </c>
      <c r="KO37" s="29" t="str">
        <f t="shared" ref="KO37:KP37" si="42">IFERROR(KO$27*(1+$A37)^-KO$6,"")</f>
        <v/>
      </c>
      <c r="KP37" s="29" t="str">
        <f t="shared" si="42"/>
        <v/>
      </c>
    </row>
    <row r="38" spans="1:302" customFormat="1" hidden="1" outlineLevel="1" x14ac:dyDescent="0.2">
      <c r="A38" s="33">
        <f t="shared" si="38"/>
        <v>0.02</v>
      </c>
      <c r="B38" s="29" t="str">
        <f t="shared" si="30"/>
        <v/>
      </c>
      <c r="C38" s="29" t="str">
        <f t="shared" si="37"/>
        <v/>
      </c>
      <c r="D38" s="29" t="str">
        <f t="shared" si="37"/>
        <v/>
      </c>
      <c r="E38" s="29" t="str">
        <f t="shared" si="37"/>
        <v/>
      </c>
      <c r="F38" s="29" t="str">
        <f t="shared" si="37"/>
        <v/>
      </c>
      <c r="G38" s="29" t="str">
        <f t="shared" si="37"/>
        <v/>
      </c>
      <c r="H38" s="29" t="str">
        <f t="shared" si="37"/>
        <v/>
      </c>
      <c r="I38" s="29" t="str">
        <f t="shared" si="37"/>
        <v/>
      </c>
      <c r="J38" s="29" t="str">
        <f t="shared" si="37"/>
        <v/>
      </c>
      <c r="K38" s="29" t="str">
        <f t="shared" si="37"/>
        <v/>
      </c>
      <c r="L38" s="29" t="str">
        <f t="shared" si="37"/>
        <v/>
      </c>
      <c r="M38" s="29" t="str">
        <f t="shared" si="37"/>
        <v/>
      </c>
      <c r="N38" s="29" t="str">
        <f t="shared" si="37"/>
        <v/>
      </c>
      <c r="O38" s="29" t="str">
        <f t="shared" si="37"/>
        <v/>
      </c>
      <c r="P38" s="29" t="str">
        <f t="shared" si="37"/>
        <v/>
      </c>
      <c r="Q38" s="29" t="str">
        <f t="shared" si="37"/>
        <v/>
      </c>
      <c r="R38" s="29" t="str">
        <f t="shared" si="37"/>
        <v/>
      </c>
      <c r="S38" s="29" t="str">
        <f t="shared" si="37"/>
        <v/>
      </c>
      <c r="T38" s="29" t="str">
        <f t="shared" si="37"/>
        <v/>
      </c>
      <c r="U38" s="29" t="str">
        <f t="shared" si="37"/>
        <v/>
      </c>
      <c r="V38" s="29" t="str">
        <f t="shared" si="37"/>
        <v/>
      </c>
      <c r="W38" s="29" t="str">
        <f t="shared" si="37"/>
        <v/>
      </c>
      <c r="X38" s="29" t="str">
        <f t="shared" si="37"/>
        <v/>
      </c>
      <c r="Y38" s="29" t="str">
        <f t="shared" si="37"/>
        <v/>
      </c>
      <c r="Z38" s="29" t="str">
        <f t="shared" si="37"/>
        <v/>
      </c>
      <c r="AA38" s="29" t="str">
        <f t="shared" si="37"/>
        <v/>
      </c>
      <c r="AB38" s="29" t="str">
        <f t="shared" si="37"/>
        <v/>
      </c>
      <c r="AC38" s="29" t="str">
        <f t="shared" si="37"/>
        <v/>
      </c>
      <c r="AD38" s="29" t="str">
        <f t="shared" si="37"/>
        <v/>
      </c>
      <c r="AE38" s="29" t="str">
        <f t="shared" si="37"/>
        <v/>
      </c>
      <c r="AF38" s="29" t="str">
        <f t="shared" si="37"/>
        <v/>
      </c>
      <c r="AG38" s="29" t="str">
        <f t="shared" si="37"/>
        <v/>
      </c>
      <c r="AH38" s="29" t="str">
        <f t="shared" si="37"/>
        <v/>
      </c>
      <c r="AI38" s="29" t="str">
        <f t="shared" si="37"/>
        <v/>
      </c>
      <c r="AJ38" s="29" t="str">
        <f t="shared" si="37"/>
        <v/>
      </c>
      <c r="AK38" s="29" t="str">
        <f t="shared" si="37"/>
        <v/>
      </c>
      <c r="AL38" s="29" t="str">
        <f t="shared" si="37"/>
        <v/>
      </c>
      <c r="AM38" s="29" t="str">
        <f t="shared" si="37"/>
        <v/>
      </c>
      <c r="AN38" s="29" t="str">
        <f t="shared" si="37"/>
        <v/>
      </c>
      <c r="AO38" s="29" t="str">
        <f t="shared" si="37"/>
        <v/>
      </c>
      <c r="AP38" s="29" t="str">
        <f t="shared" si="37"/>
        <v/>
      </c>
      <c r="AQ38" s="29" t="str">
        <f t="shared" si="37"/>
        <v/>
      </c>
      <c r="AR38" s="29" t="str">
        <f t="shared" si="37"/>
        <v/>
      </c>
      <c r="AS38" s="29" t="str">
        <f t="shared" si="37"/>
        <v/>
      </c>
      <c r="AT38" s="29" t="str">
        <f t="shared" si="37"/>
        <v/>
      </c>
      <c r="AU38" s="29" t="str">
        <f t="shared" si="37"/>
        <v/>
      </c>
      <c r="AV38" s="29" t="str">
        <f t="shared" si="37"/>
        <v/>
      </c>
      <c r="AW38" s="29" t="str">
        <f t="shared" si="37"/>
        <v/>
      </c>
      <c r="AX38" s="29" t="str">
        <f t="shared" si="37"/>
        <v/>
      </c>
      <c r="AY38" s="29" t="str">
        <f t="shared" si="37"/>
        <v/>
      </c>
      <c r="AZ38" s="29" t="str">
        <f t="shared" si="37"/>
        <v/>
      </c>
      <c r="BA38" s="29" t="str">
        <f t="shared" si="37"/>
        <v/>
      </c>
      <c r="BB38" s="29" t="str">
        <f t="shared" si="37"/>
        <v/>
      </c>
      <c r="BC38" s="29" t="str">
        <f t="shared" si="37"/>
        <v/>
      </c>
      <c r="BD38" s="29" t="str">
        <f t="shared" si="37"/>
        <v/>
      </c>
      <c r="BE38" s="29" t="str">
        <f t="shared" si="37"/>
        <v/>
      </c>
      <c r="BF38" s="29" t="str">
        <f t="shared" si="37"/>
        <v/>
      </c>
      <c r="BG38" s="29" t="str">
        <f t="shared" si="37"/>
        <v/>
      </c>
      <c r="BH38" s="29" t="str">
        <f t="shared" si="37"/>
        <v/>
      </c>
      <c r="BI38" s="29" t="str">
        <f t="shared" si="37"/>
        <v/>
      </c>
      <c r="BJ38" s="29" t="str">
        <f t="shared" si="37"/>
        <v/>
      </c>
      <c r="BK38" s="29" t="str">
        <f t="shared" si="37"/>
        <v/>
      </c>
      <c r="BL38" s="29" t="str">
        <f t="shared" si="37"/>
        <v/>
      </c>
      <c r="BM38" s="29" t="str">
        <f t="shared" si="37"/>
        <v/>
      </c>
      <c r="BN38" s="29" t="str">
        <f t="shared" ref="BN38:DY41" si="43">IFERROR(BN$27*(1+$A38)^-BN$6,"")</f>
        <v/>
      </c>
      <c r="BO38" s="29" t="str">
        <f t="shared" si="43"/>
        <v/>
      </c>
      <c r="BP38" s="29" t="str">
        <f t="shared" si="43"/>
        <v/>
      </c>
      <c r="BQ38" s="29" t="str">
        <f t="shared" si="43"/>
        <v/>
      </c>
      <c r="BR38" s="29" t="str">
        <f t="shared" si="43"/>
        <v/>
      </c>
      <c r="BS38" s="29" t="str">
        <f t="shared" si="43"/>
        <v/>
      </c>
      <c r="BT38" s="29" t="str">
        <f t="shared" si="43"/>
        <v/>
      </c>
      <c r="BU38" s="29" t="str">
        <f t="shared" si="43"/>
        <v/>
      </c>
      <c r="BV38" s="29" t="str">
        <f t="shared" si="43"/>
        <v/>
      </c>
      <c r="BW38" s="29" t="str">
        <f t="shared" si="43"/>
        <v/>
      </c>
      <c r="BX38" s="29" t="str">
        <f t="shared" si="43"/>
        <v/>
      </c>
      <c r="BY38" s="29" t="str">
        <f t="shared" si="43"/>
        <v/>
      </c>
      <c r="BZ38" s="29" t="str">
        <f t="shared" si="43"/>
        <v/>
      </c>
      <c r="CA38" s="29" t="str">
        <f t="shared" si="43"/>
        <v/>
      </c>
      <c r="CB38" s="29" t="str">
        <f t="shared" si="43"/>
        <v/>
      </c>
      <c r="CC38" s="29" t="str">
        <f t="shared" si="43"/>
        <v/>
      </c>
      <c r="CD38" s="29" t="str">
        <f t="shared" si="43"/>
        <v/>
      </c>
      <c r="CE38" s="29" t="str">
        <f t="shared" si="43"/>
        <v/>
      </c>
      <c r="CF38" s="29" t="str">
        <f t="shared" si="43"/>
        <v/>
      </c>
      <c r="CG38" s="29" t="str">
        <f t="shared" si="43"/>
        <v/>
      </c>
      <c r="CH38" s="29" t="str">
        <f t="shared" si="43"/>
        <v/>
      </c>
      <c r="CI38" s="29" t="str">
        <f t="shared" si="43"/>
        <v/>
      </c>
      <c r="CJ38" s="29" t="str">
        <f t="shared" si="43"/>
        <v/>
      </c>
      <c r="CK38" s="29" t="str">
        <f t="shared" si="43"/>
        <v/>
      </c>
      <c r="CL38" s="29" t="str">
        <f t="shared" si="43"/>
        <v/>
      </c>
      <c r="CM38" s="29" t="str">
        <f t="shared" si="43"/>
        <v/>
      </c>
      <c r="CN38" s="29" t="str">
        <f t="shared" si="43"/>
        <v/>
      </c>
      <c r="CO38" s="29" t="str">
        <f t="shared" si="43"/>
        <v/>
      </c>
      <c r="CP38" s="29" t="str">
        <f t="shared" si="43"/>
        <v/>
      </c>
      <c r="CQ38" s="29" t="str">
        <f t="shared" si="43"/>
        <v/>
      </c>
      <c r="CR38" s="29" t="str">
        <f t="shared" si="43"/>
        <v/>
      </c>
      <c r="CS38" s="29" t="str">
        <f t="shared" si="43"/>
        <v/>
      </c>
      <c r="CT38" s="29" t="str">
        <f t="shared" si="43"/>
        <v/>
      </c>
      <c r="CU38" s="29" t="str">
        <f t="shared" si="43"/>
        <v/>
      </c>
      <c r="CV38" s="29" t="str">
        <f t="shared" si="43"/>
        <v/>
      </c>
      <c r="CW38" s="29" t="str">
        <f t="shared" si="43"/>
        <v/>
      </c>
      <c r="CX38" s="29" t="str">
        <f t="shared" si="43"/>
        <v/>
      </c>
      <c r="CY38" s="29" t="str">
        <f t="shared" si="43"/>
        <v/>
      </c>
      <c r="CZ38" s="29" t="str">
        <f t="shared" si="43"/>
        <v/>
      </c>
      <c r="DA38" s="29" t="str">
        <f t="shared" si="43"/>
        <v/>
      </c>
      <c r="DB38" s="29" t="str">
        <f t="shared" si="43"/>
        <v/>
      </c>
      <c r="DC38" s="29" t="str">
        <f t="shared" si="43"/>
        <v/>
      </c>
      <c r="DD38" s="29" t="str">
        <f t="shared" si="43"/>
        <v/>
      </c>
      <c r="DE38" s="29" t="str">
        <f t="shared" si="43"/>
        <v/>
      </c>
      <c r="DF38" s="29" t="str">
        <f t="shared" si="43"/>
        <v/>
      </c>
      <c r="DG38" s="29" t="str">
        <f t="shared" si="43"/>
        <v/>
      </c>
      <c r="DH38" s="29" t="str">
        <f t="shared" si="43"/>
        <v/>
      </c>
      <c r="DI38" s="29" t="str">
        <f t="shared" si="43"/>
        <v/>
      </c>
      <c r="DJ38" s="29" t="str">
        <f t="shared" si="43"/>
        <v/>
      </c>
      <c r="DK38" s="29" t="str">
        <f t="shared" si="43"/>
        <v/>
      </c>
      <c r="DL38" s="29" t="str">
        <f t="shared" si="43"/>
        <v/>
      </c>
      <c r="DM38" s="29" t="str">
        <f t="shared" si="43"/>
        <v/>
      </c>
      <c r="DN38" s="29" t="str">
        <f t="shared" si="43"/>
        <v/>
      </c>
      <c r="DO38" s="29" t="str">
        <f t="shared" si="43"/>
        <v/>
      </c>
      <c r="DP38" s="29" t="str">
        <f t="shared" si="43"/>
        <v/>
      </c>
      <c r="DQ38" s="29" t="str">
        <f t="shared" si="43"/>
        <v/>
      </c>
      <c r="DR38" s="29" t="str">
        <f t="shared" si="43"/>
        <v/>
      </c>
      <c r="DS38" s="29" t="str">
        <f t="shared" si="43"/>
        <v/>
      </c>
      <c r="DT38" s="29" t="str">
        <f t="shared" si="43"/>
        <v/>
      </c>
      <c r="DU38" s="29" t="str">
        <f t="shared" si="43"/>
        <v/>
      </c>
      <c r="DV38" s="29" t="str">
        <f t="shared" si="43"/>
        <v/>
      </c>
      <c r="DW38" s="29" t="str">
        <f t="shared" si="43"/>
        <v/>
      </c>
      <c r="DX38" s="29" t="str">
        <f t="shared" si="43"/>
        <v/>
      </c>
      <c r="DY38" s="29" t="str">
        <f t="shared" si="43"/>
        <v/>
      </c>
      <c r="DZ38" s="29" t="str">
        <f t="shared" si="34"/>
        <v/>
      </c>
      <c r="EA38" s="29" t="str">
        <f t="shared" si="40"/>
        <v/>
      </c>
      <c r="EB38" s="29" t="str">
        <f t="shared" si="40"/>
        <v/>
      </c>
      <c r="EC38" s="29" t="str">
        <f t="shared" si="40"/>
        <v/>
      </c>
      <c r="ED38" s="29" t="str">
        <f t="shared" si="40"/>
        <v/>
      </c>
      <c r="EE38" s="29" t="str">
        <f t="shared" si="40"/>
        <v/>
      </c>
      <c r="EF38" s="29" t="str">
        <f t="shared" si="40"/>
        <v/>
      </c>
      <c r="EG38" s="29" t="str">
        <f t="shared" si="40"/>
        <v/>
      </c>
      <c r="EH38" s="29" t="str">
        <f t="shared" si="40"/>
        <v/>
      </c>
      <c r="EI38" s="29" t="str">
        <f t="shared" si="40"/>
        <v/>
      </c>
      <c r="EJ38" s="29" t="str">
        <f t="shared" si="40"/>
        <v/>
      </c>
      <c r="EK38" s="29" t="str">
        <f t="shared" si="40"/>
        <v/>
      </c>
      <c r="EL38" s="29" t="str">
        <f t="shared" si="40"/>
        <v/>
      </c>
      <c r="EM38" s="29" t="str">
        <f t="shared" si="40"/>
        <v/>
      </c>
      <c r="EN38" s="29" t="str">
        <f t="shared" si="40"/>
        <v/>
      </c>
      <c r="EO38" s="29" t="str">
        <f t="shared" si="40"/>
        <v/>
      </c>
      <c r="EP38" s="29" t="str">
        <f t="shared" si="40"/>
        <v/>
      </c>
      <c r="EQ38" s="29" t="str">
        <f t="shared" si="40"/>
        <v/>
      </c>
      <c r="ER38" s="29" t="str">
        <f t="shared" si="40"/>
        <v/>
      </c>
      <c r="ES38" s="29" t="str">
        <f t="shared" si="40"/>
        <v/>
      </c>
      <c r="ET38" s="29" t="str">
        <f t="shared" si="40"/>
        <v/>
      </c>
      <c r="EU38" s="29" t="str">
        <f t="shared" si="40"/>
        <v/>
      </c>
      <c r="EV38" s="29" t="str">
        <f t="shared" si="40"/>
        <v/>
      </c>
      <c r="EW38" s="29" t="str">
        <f t="shared" si="40"/>
        <v/>
      </c>
      <c r="EX38" s="29" t="str">
        <f t="shared" si="40"/>
        <v/>
      </c>
      <c r="EY38" s="29" t="str">
        <f t="shared" si="40"/>
        <v/>
      </c>
      <c r="EZ38" s="29" t="str">
        <f t="shared" si="40"/>
        <v/>
      </c>
      <c r="FA38" s="29" t="str">
        <f t="shared" si="40"/>
        <v/>
      </c>
      <c r="FB38" s="29" t="str">
        <f t="shared" si="40"/>
        <v/>
      </c>
      <c r="FC38" s="29" t="str">
        <f t="shared" si="40"/>
        <v/>
      </c>
      <c r="FD38" s="29" t="str">
        <f t="shared" si="40"/>
        <v/>
      </c>
      <c r="FE38" s="29" t="str">
        <f t="shared" si="40"/>
        <v/>
      </c>
      <c r="FF38" s="29" t="str">
        <f t="shared" si="40"/>
        <v/>
      </c>
      <c r="FG38" s="29" t="str">
        <f t="shared" si="40"/>
        <v/>
      </c>
      <c r="FH38" s="29" t="str">
        <f t="shared" si="40"/>
        <v/>
      </c>
      <c r="FI38" s="29" t="str">
        <f t="shared" si="40"/>
        <v/>
      </c>
      <c r="FJ38" s="29" t="str">
        <f t="shared" si="40"/>
        <v/>
      </c>
      <c r="FK38" s="29" t="str">
        <f t="shared" si="40"/>
        <v/>
      </c>
      <c r="FL38" s="29" t="str">
        <f t="shared" si="40"/>
        <v/>
      </c>
      <c r="FM38" s="29" t="str">
        <f t="shared" si="40"/>
        <v/>
      </c>
      <c r="FN38" s="29" t="str">
        <f t="shared" si="40"/>
        <v/>
      </c>
      <c r="FO38" s="29" t="str">
        <f t="shared" si="40"/>
        <v/>
      </c>
      <c r="FP38" s="29" t="str">
        <f t="shared" si="40"/>
        <v/>
      </c>
      <c r="FQ38" s="29" t="str">
        <f t="shared" si="40"/>
        <v/>
      </c>
      <c r="FR38" s="29" t="str">
        <f t="shared" si="40"/>
        <v/>
      </c>
      <c r="FS38" s="29" t="str">
        <f t="shared" si="40"/>
        <v/>
      </c>
      <c r="FT38" s="29" t="str">
        <f t="shared" si="40"/>
        <v/>
      </c>
      <c r="FU38" s="29" t="str">
        <f t="shared" si="40"/>
        <v/>
      </c>
      <c r="FV38" s="29" t="str">
        <f t="shared" si="40"/>
        <v/>
      </c>
      <c r="FW38" s="29" t="str">
        <f t="shared" si="40"/>
        <v/>
      </c>
      <c r="FX38" s="29" t="str">
        <f t="shared" si="40"/>
        <v/>
      </c>
      <c r="FY38" s="29" t="str">
        <f t="shared" si="40"/>
        <v/>
      </c>
      <c r="FZ38" s="29" t="str">
        <f t="shared" si="40"/>
        <v/>
      </c>
      <c r="GA38" s="29" t="str">
        <f t="shared" si="40"/>
        <v/>
      </c>
      <c r="GB38" s="29" t="str">
        <f t="shared" si="40"/>
        <v/>
      </c>
      <c r="GC38" s="29" t="str">
        <f t="shared" si="40"/>
        <v/>
      </c>
      <c r="GD38" s="29" t="str">
        <f t="shared" si="40"/>
        <v/>
      </c>
      <c r="GE38" s="29" t="str">
        <f t="shared" si="40"/>
        <v/>
      </c>
      <c r="GF38" s="29" t="str">
        <f t="shared" si="40"/>
        <v/>
      </c>
      <c r="GG38" s="29" t="str">
        <f t="shared" si="40"/>
        <v/>
      </c>
      <c r="GH38" s="29" t="str">
        <f t="shared" si="40"/>
        <v/>
      </c>
      <c r="GI38" s="29" t="str">
        <f t="shared" si="40"/>
        <v/>
      </c>
      <c r="GJ38" s="29" t="str">
        <f t="shared" si="40"/>
        <v/>
      </c>
      <c r="GK38" s="29" t="str">
        <f t="shared" si="40"/>
        <v/>
      </c>
      <c r="GL38" s="29" t="str">
        <f t="shared" si="40"/>
        <v/>
      </c>
      <c r="GM38" s="29" t="str">
        <f t="shared" si="39"/>
        <v/>
      </c>
      <c r="GN38" s="29" t="str">
        <f t="shared" si="39"/>
        <v/>
      </c>
      <c r="GO38" s="29" t="str">
        <f t="shared" ref="GO38:IZ43" si="44">IFERROR(GO$27*(1+$A38)^-GO$6,"")</f>
        <v/>
      </c>
      <c r="GP38" s="29" t="str">
        <f t="shared" si="44"/>
        <v/>
      </c>
      <c r="GQ38" s="29" t="str">
        <f t="shared" si="44"/>
        <v/>
      </c>
      <c r="GR38" s="29" t="str">
        <f t="shared" si="44"/>
        <v/>
      </c>
      <c r="GS38" s="29" t="str">
        <f t="shared" si="44"/>
        <v/>
      </c>
      <c r="GT38" s="29" t="str">
        <f t="shared" si="44"/>
        <v/>
      </c>
      <c r="GU38" s="29" t="str">
        <f t="shared" si="44"/>
        <v/>
      </c>
      <c r="GV38" s="29" t="str">
        <f t="shared" si="44"/>
        <v/>
      </c>
      <c r="GW38" s="29" t="str">
        <f t="shared" si="44"/>
        <v/>
      </c>
      <c r="GX38" s="29" t="str">
        <f t="shared" si="44"/>
        <v/>
      </c>
      <c r="GY38" s="29" t="str">
        <f t="shared" si="44"/>
        <v/>
      </c>
      <c r="GZ38" s="29" t="str">
        <f t="shared" si="44"/>
        <v/>
      </c>
      <c r="HA38" s="29" t="str">
        <f t="shared" si="44"/>
        <v/>
      </c>
      <c r="HB38" s="29" t="str">
        <f t="shared" si="44"/>
        <v/>
      </c>
      <c r="HC38" s="29" t="str">
        <f t="shared" si="44"/>
        <v/>
      </c>
      <c r="HD38" s="29" t="str">
        <f t="shared" si="44"/>
        <v/>
      </c>
      <c r="HE38" s="29" t="str">
        <f t="shared" si="44"/>
        <v/>
      </c>
      <c r="HF38" s="29" t="str">
        <f t="shared" si="44"/>
        <v/>
      </c>
      <c r="HG38" s="29" t="str">
        <f t="shared" si="44"/>
        <v/>
      </c>
      <c r="HH38" s="29" t="str">
        <f t="shared" si="44"/>
        <v/>
      </c>
      <c r="HI38" s="29" t="str">
        <f t="shared" si="44"/>
        <v/>
      </c>
      <c r="HJ38" s="29" t="str">
        <f t="shared" si="44"/>
        <v/>
      </c>
      <c r="HK38" s="29" t="str">
        <f t="shared" si="44"/>
        <v/>
      </c>
      <c r="HL38" s="29" t="str">
        <f t="shared" si="44"/>
        <v/>
      </c>
      <c r="HM38" s="29" t="str">
        <f t="shared" si="44"/>
        <v/>
      </c>
      <c r="HN38" s="29" t="str">
        <f t="shared" si="44"/>
        <v/>
      </c>
      <c r="HO38" s="29" t="str">
        <f t="shared" si="44"/>
        <v/>
      </c>
      <c r="HP38" s="29" t="str">
        <f t="shared" si="44"/>
        <v/>
      </c>
      <c r="HQ38" s="29" t="str">
        <f t="shared" si="44"/>
        <v/>
      </c>
      <c r="HR38" s="29" t="str">
        <f t="shared" si="44"/>
        <v/>
      </c>
      <c r="HS38" s="29" t="str">
        <f t="shared" si="44"/>
        <v/>
      </c>
      <c r="HT38" s="29" t="str">
        <f t="shared" si="44"/>
        <v/>
      </c>
      <c r="HU38" s="29" t="str">
        <f t="shared" si="44"/>
        <v/>
      </c>
      <c r="HV38" s="29" t="str">
        <f t="shared" si="44"/>
        <v/>
      </c>
      <c r="HW38" s="29" t="str">
        <f t="shared" si="44"/>
        <v/>
      </c>
      <c r="HX38" s="29" t="str">
        <f t="shared" si="44"/>
        <v/>
      </c>
      <c r="HY38" s="29" t="str">
        <f t="shared" si="44"/>
        <v/>
      </c>
      <c r="HZ38" s="29" t="str">
        <f t="shared" si="44"/>
        <v/>
      </c>
      <c r="IA38" s="29" t="str">
        <f t="shared" si="44"/>
        <v/>
      </c>
      <c r="IB38" s="29" t="str">
        <f t="shared" si="44"/>
        <v/>
      </c>
      <c r="IC38" s="29" t="str">
        <f t="shared" si="44"/>
        <v/>
      </c>
      <c r="ID38" s="29" t="str">
        <f t="shared" si="44"/>
        <v/>
      </c>
      <c r="IE38" s="29" t="str">
        <f t="shared" si="44"/>
        <v/>
      </c>
      <c r="IF38" s="29" t="str">
        <f t="shared" si="44"/>
        <v/>
      </c>
      <c r="IG38" s="29" t="str">
        <f t="shared" si="44"/>
        <v/>
      </c>
      <c r="IH38" s="29" t="str">
        <f t="shared" si="44"/>
        <v/>
      </c>
      <c r="II38" s="29" t="str">
        <f t="shared" si="44"/>
        <v/>
      </c>
      <c r="IJ38" s="29" t="str">
        <f t="shared" si="44"/>
        <v/>
      </c>
      <c r="IK38" s="29" t="str">
        <f t="shared" si="44"/>
        <v/>
      </c>
      <c r="IL38" s="29" t="str">
        <f t="shared" si="44"/>
        <v/>
      </c>
      <c r="IM38" s="29" t="str">
        <f t="shared" si="44"/>
        <v/>
      </c>
      <c r="IN38" s="29" t="str">
        <f t="shared" si="44"/>
        <v/>
      </c>
      <c r="IO38" s="29" t="str">
        <f t="shared" si="44"/>
        <v/>
      </c>
      <c r="IP38" s="29" t="str">
        <f t="shared" si="44"/>
        <v/>
      </c>
      <c r="IQ38" s="29" t="str">
        <f t="shared" si="44"/>
        <v/>
      </c>
      <c r="IR38" s="29" t="str">
        <f t="shared" si="44"/>
        <v/>
      </c>
      <c r="IS38" s="29" t="str">
        <f t="shared" si="44"/>
        <v/>
      </c>
      <c r="IT38" s="29" t="str">
        <f t="shared" si="44"/>
        <v/>
      </c>
      <c r="IU38" s="29" t="str">
        <f t="shared" si="44"/>
        <v/>
      </c>
      <c r="IV38" s="29" t="str">
        <f t="shared" si="44"/>
        <v/>
      </c>
      <c r="IW38" s="29" t="str">
        <f t="shared" si="44"/>
        <v/>
      </c>
      <c r="IX38" s="29" t="str">
        <f t="shared" si="44"/>
        <v/>
      </c>
      <c r="IY38" s="29" t="str">
        <f t="shared" si="44"/>
        <v/>
      </c>
      <c r="IZ38" s="29" t="str">
        <f t="shared" si="44"/>
        <v/>
      </c>
      <c r="JA38" s="29" t="str">
        <f t="shared" si="41"/>
        <v/>
      </c>
      <c r="JB38" s="29" t="str">
        <f t="shared" ref="JB38:KP43" si="45">IFERROR(JB$27*(1+$A38)^-JB$6,"")</f>
        <v/>
      </c>
      <c r="JC38" s="29" t="str">
        <f t="shared" si="45"/>
        <v/>
      </c>
      <c r="JD38" s="29" t="str">
        <f t="shared" si="45"/>
        <v/>
      </c>
      <c r="JE38" s="29" t="str">
        <f t="shared" si="45"/>
        <v/>
      </c>
      <c r="JF38" s="29" t="str">
        <f t="shared" si="45"/>
        <v/>
      </c>
      <c r="JG38" s="29" t="str">
        <f t="shared" si="45"/>
        <v/>
      </c>
      <c r="JH38" s="29" t="str">
        <f t="shared" si="45"/>
        <v/>
      </c>
      <c r="JI38" s="29" t="str">
        <f t="shared" si="45"/>
        <v/>
      </c>
      <c r="JJ38" s="29" t="str">
        <f t="shared" si="45"/>
        <v/>
      </c>
      <c r="JK38" s="29" t="str">
        <f t="shared" si="45"/>
        <v/>
      </c>
      <c r="JL38" s="29" t="str">
        <f t="shared" si="45"/>
        <v/>
      </c>
      <c r="JM38" s="29" t="str">
        <f t="shared" si="45"/>
        <v/>
      </c>
      <c r="JN38" s="29" t="str">
        <f t="shared" si="45"/>
        <v/>
      </c>
      <c r="JO38" s="29" t="str">
        <f t="shared" si="45"/>
        <v/>
      </c>
      <c r="JP38" s="29" t="str">
        <f t="shared" si="45"/>
        <v/>
      </c>
      <c r="JQ38" s="29" t="str">
        <f t="shared" si="45"/>
        <v/>
      </c>
      <c r="JR38" s="29" t="str">
        <f t="shared" si="45"/>
        <v/>
      </c>
      <c r="JS38" s="29" t="str">
        <f t="shared" si="45"/>
        <v/>
      </c>
      <c r="JT38" s="29" t="str">
        <f t="shared" si="45"/>
        <v/>
      </c>
      <c r="JU38" s="29" t="str">
        <f t="shared" si="45"/>
        <v/>
      </c>
      <c r="JV38" s="29" t="str">
        <f t="shared" si="45"/>
        <v/>
      </c>
      <c r="JW38" s="29" t="str">
        <f t="shared" si="45"/>
        <v/>
      </c>
      <c r="JX38" s="29" t="str">
        <f t="shared" si="45"/>
        <v/>
      </c>
      <c r="JY38" s="29" t="str">
        <f t="shared" si="45"/>
        <v/>
      </c>
      <c r="JZ38" s="29" t="str">
        <f t="shared" si="45"/>
        <v/>
      </c>
      <c r="KA38" s="29" t="str">
        <f t="shared" si="45"/>
        <v/>
      </c>
      <c r="KB38" s="29" t="str">
        <f t="shared" si="45"/>
        <v/>
      </c>
      <c r="KC38" s="29" t="str">
        <f t="shared" si="45"/>
        <v/>
      </c>
      <c r="KD38" s="29" t="str">
        <f t="shared" si="45"/>
        <v/>
      </c>
      <c r="KE38" s="29" t="str">
        <f t="shared" si="45"/>
        <v/>
      </c>
      <c r="KF38" s="29" t="str">
        <f t="shared" si="45"/>
        <v/>
      </c>
      <c r="KG38" s="29" t="str">
        <f t="shared" si="45"/>
        <v/>
      </c>
      <c r="KH38" s="29" t="str">
        <f t="shared" si="45"/>
        <v/>
      </c>
      <c r="KI38" s="29" t="str">
        <f t="shared" si="45"/>
        <v/>
      </c>
      <c r="KJ38" s="29" t="str">
        <f t="shared" si="45"/>
        <v/>
      </c>
      <c r="KK38" s="29" t="str">
        <f t="shared" si="45"/>
        <v/>
      </c>
      <c r="KL38" s="29" t="str">
        <f t="shared" si="45"/>
        <v/>
      </c>
      <c r="KM38" s="29" t="str">
        <f t="shared" si="45"/>
        <v/>
      </c>
      <c r="KN38" s="29" t="str">
        <f t="shared" si="45"/>
        <v/>
      </c>
      <c r="KO38" s="29" t="str">
        <f t="shared" si="45"/>
        <v/>
      </c>
      <c r="KP38" s="29" t="str">
        <f t="shared" si="45"/>
        <v/>
      </c>
    </row>
    <row r="39" spans="1:302" customFormat="1" hidden="1" outlineLevel="1" x14ac:dyDescent="0.2">
      <c r="A39" s="33">
        <f t="shared" si="38"/>
        <v>2.5000000000000001E-2</v>
      </c>
      <c r="B39" s="29" t="str">
        <f t="shared" si="30"/>
        <v/>
      </c>
      <c r="C39" s="29" t="str">
        <f t="shared" ref="C39:BN42" si="46">IFERROR(C$27*(1+$A39)^-C$6,"")</f>
        <v/>
      </c>
      <c r="D39" s="29" t="str">
        <f t="shared" si="46"/>
        <v/>
      </c>
      <c r="E39" s="29" t="str">
        <f t="shared" si="46"/>
        <v/>
      </c>
      <c r="F39" s="29" t="str">
        <f t="shared" si="46"/>
        <v/>
      </c>
      <c r="G39" s="29" t="str">
        <f t="shared" si="46"/>
        <v/>
      </c>
      <c r="H39" s="29" t="str">
        <f t="shared" si="46"/>
        <v/>
      </c>
      <c r="I39" s="29" t="str">
        <f t="shared" si="46"/>
        <v/>
      </c>
      <c r="J39" s="29" t="str">
        <f t="shared" si="46"/>
        <v/>
      </c>
      <c r="K39" s="29" t="str">
        <f t="shared" si="46"/>
        <v/>
      </c>
      <c r="L39" s="29" t="str">
        <f t="shared" si="46"/>
        <v/>
      </c>
      <c r="M39" s="29" t="str">
        <f t="shared" si="46"/>
        <v/>
      </c>
      <c r="N39" s="29" t="str">
        <f t="shared" si="46"/>
        <v/>
      </c>
      <c r="O39" s="29" t="str">
        <f t="shared" si="46"/>
        <v/>
      </c>
      <c r="P39" s="29" t="str">
        <f t="shared" si="46"/>
        <v/>
      </c>
      <c r="Q39" s="29" t="str">
        <f t="shared" si="46"/>
        <v/>
      </c>
      <c r="R39" s="29" t="str">
        <f t="shared" si="46"/>
        <v/>
      </c>
      <c r="S39" s="29" t="str">
        <f t="shared" si="46"/>
        <v/>
      </c>
      <c r="T39" s="29" t="str">
        <f t="shared" si="46"/>
        <v/>
      </c>
      <c r="U39" s="29" t="str">
        <f t="shared" si="46"/>
        <v/>
      </c>
      <c r="V39" s="29" t="str">
        <f t="shared" si="46"/>
        <v/>
      </c>
      <c r="W39" s="29" t="str">
        <f t="shared" si="46"/>
        <v/>
      </c>
      <c r="X39" s="29" t="str">
        <f t="shared" si="46"/>
        <v/>
      </c>
      <c r="Y39" s="29" t="str">
        <f t="shared" si="46"/>
        <v/>
      </c>
      <c r="Z39" s="29" t="str">
        <f t="shared" si="46"/>
        <v/>
      </c>
      <c r="AA39" s="29" t="str">
        <f t="shared" si="46"/>
        <v/>
      </c>
      <c r="AB39" s="29" t="str">
        <f t="shared" si="46"/>
        <v/>
      </c>
      <c r="AC39" s="29" t="str">
        <f t="shared" si="46"/>
        <v/>
      </c>
      <c r="AD39" s="29" t="str">
        <f t="shared" si="46"/>
        <v/>
      </c>
      <c r="AE39" s="29" t="str">
        <f t="shared" si="46"/>
        <v/>
      </c>
      <c r="AF39" s="29" t="str">
        <f t="shared" si="46"/>
        <v/>
      </c>
      <c r="AG39" s="29" t="str">
        <f t="shared" si="46"/>
        <v/>
      </c>
      <c r="AH39" s="29" t="str">
        <f t="shared" si="46"/>
        <v/>
      </c>
      <c r="AI39" s="29" t="str">
        <f t="shared" si="46"/>
        <v/>
      </c>
      <c r="AJ39" s="29" t="str">
        <f t="shared" si="46"/>
        <v/>
      </c>
      <c r="AK39" s="29" t="str">
        <f t="shared" si="46"/>
        <v/>
      </c>
      <c r="AL39" s="29" t="str">
        <f t="shared" si="46"/>
        <v/>
      </c>
      <c r="AM39" s="29" t="str">
        <f t="shared" si="46"/>
        <v/>
      </c>
      <c r="AN39" s="29" t="str">
        <f t="shared" si="46"/>
        <v/>
      </c>
      <c r="AO39" s="29" t="str">
        <f t="shared" si="46"/>
        <v/>
      </c>
      <c r="AP39" s="29" t="str">
        <f t="shared" si="46"/>
        <v/>
      </c>
      <c r="AQ39" s="29" t="str">
        <f t="shared" si="46"/>
        <v/>
      </c>
      <c r="AR39" s="29" t="str">
        <f t="shared" si="46"/>
        <v/>
      </c>
      <c r="AS39" s="29" t="str">
        <f t="shared" si="46"/>
        <v/>
      </c>
      <c r="AT39" s="29" t="str">
        <f t="shared" si="46"/>
        <v/>
      </c>
      <c r="AU39" s="29" t="str">
        <f t="shared" si="46"/>
        <v/>
      </c>
      <c r="AV39" s="29" t="str">
        <f t="shared" si="46"/>
        <v/>
      </c>
      <c r="AW39" s="29" t="str">
        <f t="shared" si="46"/>
        <v/>
      </c>
      <c r="AX39" s="29" t="str">
        <f t="shared" si="46"/>
        <v/>
      </c>
      <c r="AY39" s="29" t="str">
        <f t="shared" si="46"/>
        <v/>
      </c>
      <c r="AZ39" s="29" t="str">
        <f t="shared" si="46"/>
        <v/>
      </c>
      <c r="BA39" s="29" t="str">
        <f t="shared" si="46"/>
        <v/>
      </c>
      <c r="BB39" s="29" t="str">
        <f t="shared" si="46"/>
        <v/>
      </c>
      <c r="BC39" s="29" t="str">
        <f t="shared" si="46"/>
        <v/>
      </c>
      <c r="BD39" s="29" t="str">
        <f t="shared" si="46"/>
        <v/>
      </c>
      <c r="BE39" s="29" t="str">
        <f t="shared" si="46"/>
        <v/>
      </c>
      <c r="BF39" s="29" t="str">
        <f t="shared" si="46"/>
        <v/>
      </c>
      <c r="BG39" s="29" t="str">
        <f t="shared" si="46"/>
        <v/>
      </c>
      <c r="BH39" s="29" t="str">
        <f t="shared" si="46"/>
        <v/>
      </c>
      <c r="BI39" s="29" t="str">
        <f t="shared" si="46"/>
        <v/>
      </c>
      <c r="BJ39" s="29" t="str">
        <f t="shared" si="46"/>
        <v/>
      </c>
      <c r="BK39" s="29" t="str">
        <f t="shared" si="46"/>
        <v/>
      </c>
      <c r="BL39" s="29" t="str">
        <f t="shared" si="46"/>
        <v/>
      </c>
      <c r="BM39" s="29" t="str">
        <f t="shared" si="46"/>
        <v/>
      </c>
      <c r="BN39" s="29" t="str">
        <f t="shared" si="46"/>
        <v/>
      </c>
      <c r="BO39" s="29" t="str">
        <f t="shared" si="43"/>
        <v/>
      </c>
      <c r="BP39" s="29" t="str">
        <f t="shared" si="43"/>
        <v/>
      </c>
      <c r="BQ39" s="29" t="str">
        <f t="shared" si="43"/>
        <v/>
      </c>
      <c r="BR39" s="29" t="str">
        <f t="shared" si="43"/>
        <v/>
      </c>
      <c r="BS39" s="29" t="str">
        <f t="shared" si="43"/>
        <v/>
      </c>
      <c r="BT39" s="29" t="str">
        <f t="shared" si="43"/>
        <v/>
      </c>
      <c r="BU39" s="29" t="str">
        <f t="shared" si="43"/>
        <v/>
      </c>
      <c r="BV39" s="29" t="str">
        <f t="shared" si="43"/>
        <v/>
      </c>
      <c r="BW39" s="29" t="str">
        <f t="shared" si="43"/>
        <v/>
      </c>
      <c r="BX39" s="29" t="str">
        <f t="shared" si="43"/>
        <v/>
      </c>
      <c r="BY39" s="29" t="str">
        <f t="shared" si="43"/>
        <v/>
      </c>
      <c r="BZ39" s="29" t="str">
        <f t="shared" si="43"/>
        <v/>
      </c>
      <c r="CA39" s="29" t="str">
        <f t="shared" si="43"/>
        <v/>
      </c>
      <c r="CB39" s="29" t="str">
        <f t="shared" si="43"/>
        <v/>
      </c>
      <c r="CC39" s="29" t="str">
        <f t="shared" si="43"/>
        <v/>
      </c>
      <c r="CD39" s="29" t="str">
        <f t="shared" si="43"/>
        <v/>
      </c>
      <c r="CE39" s="29" t="str">
        <f t="shared" si="43"/>
        <v/>
      </c>
      <c r="CF39" s="29" t="str">
        <f t="shared" si="43"/>
        <v/>
      </c>
      <c r="CG39" s="29" t="str">
        <f t="shared" si="43"/>
        <v/>
      </c>
      <c r="CH39" s="29" t="str">
        <f t="shared" si="43"/>
        <v/>
      </c>
      <c r="CI39" s="29" t="str">
        <f t="shared" si="43"/>
        <v/>
      </c>
      <c r="CJ39" s="29" t="str">
        <f t="shared" si="43"/>
        <v/>
      </c>
      <c r="CK39" s="29" t="str">
        <f t="shared" si="43"/>
        <v/>
      </c>
      <c r="CL39" s="29" t="str">
        <f t="shared" si="43"/>
        <v/>
      </c>
      <c r="CM39" s="29" t="str">
        <f t="shared" si="43"/>
        <v/>
      </c>
      <c r="CN39" s="29" t="str">
        <f t="shared" si="43"/>
        <v/>
      </c>
      <c r="CO39" s="29" t="str">
        <f t="shared" si="43"/>
        <v/>
      </c>
      <c r="CP39" s="29" t="str">
        <f t="shared" si="43"/>
        <v/>
      </c>
      <c r="CQ39" s="29" t="str">
        <f t="shared" si="43"/>
        <v/>
      </c>
      <c r="CR39" s="29" t="str">
        <f t="shared" si="43"/>
        <v/>
      </c>
      <c r="CS39" s="29" t="str">
        <f t="shared" si="43"/>
        <v/>
      </c>
      <c r="CT39" s="29" t="str">
        <f t="shared" si="43"/>
        <v/>
      </c>
      <c r="CU39" s="29" t="str">
        <f t="shared" si="43"/>
        <v/>
      </c>
      <c r="CV39" s="29" t="str">
        <f t="shared" si="43"/>
        <v/>
      </c>
      <c r="CW39" s="29" t="str">
        <f t="shared" si="43"/>
        <v/>
      </c>
      <c r="CX39" s="29" t="str">
        <f t="shared" si="43"/>
        <v/>
      </c>
      <c r="CY39" s="29" t="str">
        <f t="shared" si="43"/>
        <v/>
      </c>
      <c r="CZ39" s="29" t="str">
        <f t="shared" si="43"/>
        <v/>
      </c>
      <c r="DA39" s="29" t="str">
        <f t="shared" si="43"/>
        <v/>
      </c>
      <c r="DB39" s="29" t="str">
        <f t="shared" si="43"/>
        <v/>
      </c>
      <c r="DC39" s="29" t="str">
        <f t="shared" si="43"/>
        <v/>
      </c>
      <c r="DD39" s="29" t="str">
        <f t="shared" si="43"/>
        <v/>
      </c>
      <c r="DE39" s="29" t="str">
        <f t="shared" si="43"/>
        <v/>
      </c>
      <c r="DF39" s="29" t="str">
        <f t="shared" si="43"/>
        <v/>
      </c>
      <c r="DG39" s="29" t="str">
        <f t="shared" si="43"/>
        <v/>
      </c>
      <c r="DH39" s="29" t="str">
        <f t="shared" si="43"/>
        <v/>
      </c>
      <c r="DI39" s="29" t="str">
        <f t="shared" si="43"/>
        <v/>
      </c>
      <c r="DJ39" s="29" t="str">
        <f t="shared" si="43"/>
        <v/>
      </c>
      <c r="DK39" s="29" t="str">
        <f t="shared" si="43"/>
        <v/>
      </c>
      <c r="DL39" s="29" t="str">
        <f t="shared" si="43"/>
        <v/>
      </c>
      <c r="DM39" s="29" t="str">
        <f t="shared" si="43"/>
        <v/>
      </c>
      <c r="DN39" s="29" t="str">
        <f t="shared" si="43"/>
        <v/>
      </c>
      <c r="DO39" s="29" t="str">
        <f t="shared" si="43"/>
        <v/>
      </c>
      <c r="DP39" s="29" t="str">
        <f t="shared" si="43"/>
        <v/>
      </c>
      <c r="DQ39" s="29" t="str">
        <f t="shared" si="43"/>
        <v/>
      </c>
      <c r="DR39" s="29" t="str">
        <f t="shared" si="43"/>
        <v/>
      </c>
      <c r="DS39" s="29" t="str">
        <f t="shared" si="43"/>
        <v/>
      </c>
      <c r="DT39" s="29" t="str">
        <f t="shared" si="43"/>
        <v/>
      </c>
      <c r="DU39" s="29" t="str">
        <f t="shared" si="43"/>
        <v/>
      </c>
      <c r="DV39" s="29" t="str">
        <f t="shared" si="43"/>
        <v/>
      </c>
      <c r="DW39" s="29" t="str">
        <f t="shared" si="43"/>
        <v/>
      </c>
      <c r="DX39" s="29" t="str">
        <f t="shared" si="43"/>
        <v/>
      </c>
      <c r="DY39" s="29" t="str">
        <f t="shared" si="43"/>
        <v/>
      </c>
      <c r="DZ39" s="29" t="str">
        <f t="shared" si="34"/>
        <v/>
      </c>
      <c r="EA39" s="29" t="str">
        <f t="shared" si="40"/>
        <v/>
      </c>
      <c r="EB39" s="29" t="str">
        <f t="shared" si="40"/>
        <v/>
      </c>
      <c r="EC39" s="29" t="str">
        <f t="shared" si="40"/>
        <v/>
      </c>
      <c r="ED39" s="29" t="str">
        <f t="shared" si="40"/>
        <v/>
      </c>
      <c r="EE39" s="29" t="str">
        <f t="shared" si="40"/>
        <v/>
      </c>
      <c r="EF39" s="29" t="str">
        <f t="shared" si="40"/>
        <v/>
      </c>
      <c r="EG39" s="29" t="str">
        <f t="shared" si="40"/>
        <v/>
      </c>
      <c r="EH39" s="29" t="str">
        <f t="shared" si="40"/>
        <v/>
      </c>
      <c r="EI39" s="29" t="str">
        <f t="shared" si="40"/>
        <v/>
      </c>
      <c r="EJ39" s="29" t="str">
        <f t="shared" si="40"/>
        <v/>
      </c>
      <c r="EK39" s="29" t="str">
        <f t="shared" si="40"/>
        <v/>
      </c>
      <c r="EL39" s="29" t="str">
        <f t="shared" si="40"/>
        <v/>
      </c>
      <c r="EM39" s="29" t="str">
        <f t="shared" si="40"/>
        <v/>
      </c>
      <c r="EN39" s="29" t="str">
        <f t="shared" si="40"/>
        <v/>
      </c>
      <c r="EO39" s="29" t="str">
        <f t="shared" si="40"/>
        <v/>
      </c>
      <c r="EP39" s="29" t="str">
        <f t="shared" si="40"/>
        <v/>
      </c>
      <c r="EQ39" s="29" t="str">
        <f t="shared" si="40"/>
        <v/>
      </c>
      <c r="ER39" s="29" t="str">
        <f t="shared" si="40"/>
        <v/>
      </c>
      <c r="ES39" s="29" t="str">
        <f t="shared" si="40"/>
        <v/>
      </c>
      <c r="ET39" s="29" t="str">
        <f t="shared" si="40"/>
        <v/>
      </c>
      <c r="EU39" s="29" t="str">
        <f t="shared" si="40"/>
        <v/>
      </c>
      <c r="EV39" s="29" t="str">
        <f t="shared" si="40"/>
        <v/>
      </c>
      <c r="EW39" s="29" t="str">
        <f t="shared" si="40"/>
        <v/>
      </c>
      <c r="EX39" s="29" t="str">
        <f t="shared" si="40"/>
        <v/>
      </c>
      <c r="EY39" s="29" t="str">
        <f t="shared" si="40"/>
        <v/>
      </c>
      <c r="EZ39" s="29" t="str">
        <f t="shared" si="40"/>
        <v/>
      </c>
      <c r="FA39" s="29" t="str">
        <f t="shared" si="40"/>
        <v/>
      </c>
      <c r="FB39" s="29" t="str">
        <f t="shared" si="40"/>
        <v/>
      </c>
      <c r="FC39" s="29" t="str">
        <f t="shared" si="40"/>
        <v/>
      </c>
      <c r="FD39" s="29" t="str">
        <f t="shared" si="40"/>
        <v/>
      </c>
      <c r="FE39" s="29" t="str">
        <f t="shared" si="40"/>
        <v/>
      </c>
      <c r="FF39" s="29" t="str">
        <f t="shared" si="40"/>
        <v/>
      </c>
      <c r="FG39" s="29" t="str">
        <f t="shared" si="40"/>
        <v/>
      </c>
      <c r="FH39" s="29" t="str">
        <f t="shared" si="40"/>
        <v/>
      </c>
      <c r="FI39" s="29" t="str">
        <f t="shared" si="40"/>
        <v/>
      </c>
      <c r="FJ39" s="29" t="str">
        <f t="shared" si="40"/>
        <v/>
      </c>
      <c r="FK39" s="29" t="str">
        <f t="shared" si="40"/>
        <v/>
      </c>
      <c r="FL39" s="29" t="str">
        <f t="shared" si="40"/>
        <v/>
      </c>
      <c r="FM39" s="29" t="str">
        <f t="shared" si="40"/>
        <v/>
      </c>
      <c r="FN39" s="29" t="str">
        <f t="shared" si="40"/>
        <v/>
      </c>
      <c r="FO39" s="29" t="str">
        <f t="shared" si="40"/>
        <v/>
      </c>
      <c r="FP39" s="29" t="str">
        <f t="shared" si="40"/>
        <v/>
      </c>
      <c r="FQ39" s="29" t="str">
        <f t="shared" si="40"/>
        <v/>
      </c>
      <c r="FR39" s="29" t="str">
        <f t="shared" si="40"/>
        <v/>
      </c>
      <c r="FS39" s="29" t="str">
        <f t="shared" si="40"/>
        <v/>
      </c>
      <c r="FT39" s="29" t="str">
        <f t="shared" si="40"/>
        <v/>
      </c>
      <c r="FU39" s="29" t="str">
        <f t="shared" si="40"/>
        <v/>
      </c>
      <c r="FV39" s="29" t="str">
        <f t="shared" si="40"/>
        <v/>
      </c>
      <c r="FW39" s="29" t="str">
        <f t="shared" si="40"/>
        <v/>
      </c>
      <c r="FX39" s="29" t="str">
        <f t="shared" si="40"/>
        <v/>
      </c>
      <c r="FY39" s="29" t="str">
        <f t="shared" si="40"/>
        <v/>
      </c>
      <c r="FZ39" s="29" t="str">
        <f t="shared" si="40"/>
        <v/>
      </c>
      <c r="GA39" s="29" t="str">
        <f t="shared" si="40"/>
        <v/>
      </c>
      <c r="GB39" s="29" t="str">
        <f t="shared" si="40"/>
        <v/>
      </c>
      <c r="GC39" s="29" t="str">
        <f t="shared" si="40"/>
        <v/>
      </c>
      <c r="GD39" s="29" t="str">
        <f t="shared" si="40"/>
        <v/>
      </c>
      <c r="GE39" s="29" t="str">
        <f t="shared" si="40"/>
        <v/>
      </c>
      <c r="GF39" s="29" t="str">
        <f t="shared" si="40"/>
        <v/>
      </c>
      <c r="GG39" s="29" t="str">
        <f t="shared" si="40"/>
        <v/>
      </c>
      <c r="GH39" s="29" t="str">
        <f t="shared" si="40"/>
        <v/>
      </c>
      <c r="GI39" s="29" t="str">
        <f t="shared" si="40"/>
        <v/>
      </c>
      <c r="GJ39" s="29" t="str">
        <f t="shared" si="40"/>
        <v/>
      </c>
      <c r="GK39" s="29" t="str">
        <f t="shared" si="40"/>
        <v/>
      </c>
      <c r="GL39" s="29" t="str">
        <f t="shared" si="40"/>
        <v/>
      </c>
      <c r="GM39" s="29" t="str">
        <f t="shared" si="39"/>
        <v/>
      </c>
      <c r="GN39" s="29" t="str">
        <f t="shared" si="39"/>
        <v/>
      </c>
      <c r="GO39" s="29" t="str">
        <f t="shared" si="44"/>
        <v/>
      </c>
      <c r="GP39" s="29" t="str">
        <f t="shared" si="44"/>
        <v/>
      </c>
      <c r="GQ39" s="29" t="str">
        <f t="shared" si="44"/>
        <v/>
      </c>
      <c r="GR39" s="29" t="str">
        <f t="shared" si="44"/>
        <v/>
      </c>
      <c r="GS39" s="29" t="str">
        <f t="shared" si="44"/>
        <v/>
      </c>
      <c r="GT39" s="29" t="str">
        <f t="shared" si="44"/>
        <v/>
      </c>
      <c r="GU39" s="29" t="str">
        <f t="shared" si="44"/>
        <v/>
      </c>
      <c r="GV39" s="29" t="str">
        <f t="shared" si="44"/>
        <v/>
      </c>
      <c r="GW39" s="29" t="str">
        <f t="shared" si="44"/>
        <v/>
      </c>
      <c r="GX39" s="29" t="str">
        <f t="shared" si="44"/>
        <v/>
      </c>
      <c r="GY39" s="29" t="str">
        <f t="shared" si="44"/>
        <v/>
      </c>
      <c r="GZ39" s="29" t="str">
        <f t="shared" si="44"/>
        <v/>
      </c>
      <c r="HA39" s="29" t="str">
        <f t="shared" si="44"/>
        <v/>
      </c>
      <c r="HB39" s="29" t="str">
        <f t="shared" si="44"/>
        <v/>
      </c>
      <c r="HC39" s="29" t="str">
        <f t="shared" si="44"/>
        <v/>
      </c>
      <c r="HD39" s="29" t="str">
        <f t="shared" si="44"/>
        <v/>
      </c>
      <c r="HE39" s="29" t="str">
        <f t="shared" si="44"/>
        <v/>
      </c>
      <c r="HF39" s="29" t="str">
        <f t="shared" si="44"/>
        <v/>
      </c>
      <c r="HG39" s="29" t="str">
        <f t="shared" si="44"/>
        <v/>
      </c>
      <c r="HH39" s="29" t="str">
        <f t="shared" si="44"/>
        <v/>
      </c>
      <c r="HI39" s="29" t="str">
        <f t="shared" si="44"/>
        <v/>
      </c>
      <c r="HJ39" s="29" t="str">
        <f t="shared" si="44"/>
        <v/>
      </c>
      <c r="HK39" s="29" t="str">
        <f t="shared" si="44"/>
        <v/>
      </c>
      <c r="HL39" s="29" t="str">
        <f t="shared" si="44"/>
        <v/>
      </c>
      <c r="HM39" s="29" t="str">
        <f t="shared" si="44"/>
        <v/>
      </c>
      <c r="HN39" s="29" t="str">
        <f t="shared" si="44"/>
        <v/>
      </c>
      <c r="HO39" s="29" t="str">
        <f t="shared" si="44"/>
        <v/>
      </c>
      <c r="HP39" s="29" t="str">
        <f t="shared" si="44"/>
        <v/>
      </c>
      <c r="HQ39" s="29" t="str">
        <f t="shared" si="44"/>
        <v/>
      </c>
      <c r="HR39" s="29" t="str">
        <f t="shared" si="44"/>
        <v/>
      </c>
      <c r="HS39" s="29" t="str">
        <f t="shared" si="44"/>
        <v/>
      </c>
      <c r="HT39" s="29" t="str">
        <f t="shared" si="44"/>
        <v/>
      </c>
      <c r="HU39" s="29" t="str">
        <f t="shared" si="44"/>
        <v/>
      </c>
      <c r="HV39" s="29" t="str">
        <f t="shared" si="44"/>
        <v/>
      </c>
      <c r="HW39" s="29" t="str">
        <f t="shared" si="44"/>
        <v/>
      </c>
      <c r="HX39" s="29" t="str">
        <f t="shared" si="44"/>
        <v/>
      </c>
      <c r="HY39" s="29" t="str">
        <f t="shared" si="44"/>
        <v/>
      </c>
      <c r="HZ39" s="29" t="str">
        <f t="shared" si="44"/>
        <v/>
      </c>
      <c r="IA39" s="29" t="str">
        <f t="shared" si="44"/>
        <v/>
      </c>
      <c r="IB39" s="29" t="str">
        <f t="shared" si="44"/>
        <v/>
      </c>
      <c r="IC39" s="29" t="str">
        <f t="shared" si="44"/>
        <v/>
      </c>
      <c r="ID39" s="29" t="str">
        <f t="shared" si="44"/>
        <v/>
      </c>
      <c r="IE39" s="29" t="str">
        <f t="shared" si="44"/>
        <v/>
      </c>
      <c r="IF39" s="29" t="str">
        <f t="shared" si="44"/>
        <v/>
      </c>
      <c r="IG39" s="29" t="str">
        <f t="shared" si="44"/>
        <v/>
      </c>
      <c r="IH39" s="29" t="str">
        <f t="shared" si="44"/>
        <v/>
      </c>
      <c r="II39" s="29" t="str">
        <f t="shared" si="44"/>
        <v/>
      </c>
      <c r="IJ39" s="29" t="str">
        <f t="shared" si="44"/>
        <v/>
      </c>
      <c r="IK39" s="29" t="str">
        <f t="shared" si="44"/>
        <v/>
      </c>
      <c r="IL39" s="29" t="str">
        <f t="shared" si="44"/>
        <v/>
      </c>
      <c r="IM39" s="29" t="str">
        <f t="shared" si="44"/>
        <v/>
      </c>
      <c r="IN39" s="29" t="str">
        <f t="shared" si="44"/>
        <v/>
      </c>
      <c r="IO39" s="29" t="str">
        <f t="shared" si="44"/>
        <v/>
      </c>
      <c r="IP39" s="29" t="str">
        <f t="shared" si="44"/>
        <v/>
      </c>
      <c r="IQ39" s="29" t="str">
        <f t="shared" si="44"/>
        <v/>
      </c>
      <c r="IR39" s="29" t="str">
        <f t="shared" si="44"/>
        <v/>
      </c>
      <c r="IS39" s="29" t="str">
        <f t="shared" si="44"/>
        <v/>
      </c>
      <c r="IT39" s="29" t="str">
        <f t="shared" si="44"/>
        <v/>
      </c>
      <c r="IU39" s="29" t="str">
        <f t="shared" si="44"/>
        <v/>
      </c>
      <c r="IV39" s="29" t="str">
        <f t="shared" si="44"/>
        <v/>
      </c>
      <c r="IW39" s="29" t="str">
        <f t="shared" si="44"/>
        <v/>
      </c>
      <c r="IX39" s="29" t="str">
        <f t="shared" si="44"/>
        <v/>
      </c>
      <c r="IY39" s="29" t="str">
        <f t="shared" si="44"/>
        <v/>
      </c>
      <c r="IZ39" s="29" t="str">
        <f t="shared" si="44"/>
        <v/>
      </c>
      <c r="JA39" s="29" t="str">
        <f t="shared" si="41"/>
        <v/>
      </c>
      <c r="JB39" s="29" t="str">
        <f t="shared" si="45"/>
        <v/>
      </c>
      <c r="JC39" s="29" t="str">
        <f t="shared" si="45"/>
        <v/>
      </c>
      <c r="JD39" s="29" t="str">
        <f t="shared" si="45"/>
        <v/>
      </c>
      <c r="JE39" s="29" t="str">
        <f t="shared" si="45"/>
        <v/>
      </c>
      <c r="JF39" s="29" t="str">
        <f t="shared" si="45"/>
        <v/>
      </c>
      <c r="JG39" s="29" t="str">
        <f t="shared" si="45"/>
        <v/>
      </c>
      <c r="JH39" s="29" t="str">
        <f t="shared" si="45"/>
        <v/>
      </c>
      <c r="JI39" s="29" t="str">
        <f t="shared" si="45"/>
        <v/>
      </c>
      <c r="JJ39" s="29" t="str">
        <f t="shared" si="45"/>
        <v/>
      </c>
      <c r="JK39" s="29" t="str">
        <f t="shared" si="45"/>
        <v/>
      </c>
      <c r="JL39" s="29" t="str">
        <f t="shared" si="45"/>
        <v/>
      </c>
      <c r="JM39" s="29" t="str">
        <f t="shared" si="45"/>
        <v/>
      </c>
      <c r="JN39" s="29" t="str">
        <f t="shared" si="45"/>
        <v/>
      </c>
      <c r="JO39" s="29" t="str">
        <f t="shared" si="45"/>
        <v/>
      </c>
      <c r="JP39" s="29" t="str">
        <f t="shared" si="45"/>
        <v/>
      </c>
      <c r="JQ39" s="29" t="str">
        <f t="shared" si="45"/>
        <v/>
      </c>
      <c r="JR39" s="29" t="str">
        <f t="shared" si="45"/>
        <v/>
      </c>
      <c r="JS39" s="29" t="str">
        <f t="shared" si="45"/>
        <v/>
      </c>
      <c r="JT39" s="29" t="str">
        <f t="shared" si="45"/>
        <v/>
      </c>
      <c r="JU39" s="29" t="str">
        <f t="shared" si="45"/>
        <v/>
      </c>
      <c r="JV39" s="29" t="str">
        <f t="shared" si="45"/>
        <v/>
      </c>
      <c r="JW39" s="29" t="str">
        <f t="shared" si="45"/>
        <v/>
      </c>
      <c r="JX39" s="29" t="str">
        <f t="shared" si="45"/>
        <v/>
      </c>
      <c r="JY39" s="29" t="str">
        <f t="shared" si="45"/>
        <v/>
      </c>
      <c r="JZ39" s="29" t="str">
        <f t="shared" si="45"/>
        <v/>
      </c>
      <c r="KA39" s="29" t="str">
        <f t="shared" si="45"/>
        <v/>
      </c>
      <c r="KB39" s="29" t="str">
        <f t="shared" si="45"/>
        <v/>
      </c>
      <c r="KC39" s="29" t="str">
        <f t="shared" si="45"/>
        <v/>
      </c>
      <c r="KD39" s="29" t="str">
        <f t="shared" si="45"/>
        <v/>
      </c>
      <c r="KE39" s="29" t="str">
        <f t="shared" si="45"/>
        <v/>
      </c>
      <c r="KF39" s="29" t="str">
        <f t="shared" si="45"/>
        <v/>
      </c>
      <c r="KG39" s="29" t="str">
        <f t="shared" si="45"/>
        <v/>
      </c>
      <c r="KH39" s="29" t="str">
        <f t="shared" si="45"/>
        <v/>
      </c>
      <c r="KI39" s="29" t="str">
        <f t="shared" si="45"/>
        <v/>
      </c>
      <c r="KJ39" s="29" t="str">
        <f t="shared" si="45"/>
        <v/>
      </c>
      <c r="KK39" s="29" t="str">
        <f t="shared" si="45"/>
        <v/>
      </c>
      <c r="KL39" s="29" t="str">
        <f t="shared" si="45"/>
        <v/>
      </c>
      <c r="KM39" s="29" t="str">
        <f t="shared" si="45"/>
        <v/>
      </c>
      <c r="KN39" s="29" t="str">
        <f t="shared" si="45"/>
        <v/>
      </c>
      <c r="KO39" s="29" t="str">
        <f t="shared" si="45"/>
        <v/>
      </c>
      <c r="KP39" s="29" t="str">
        <f t="shared" si="45"/>
        <v/>
      </c>
    </row>
    <row r="40" spans="1:302" customFormat="1" hidden="1" outlineLevel="1" x14ac:dyDescent="0.2">
      <c r="A40" s="33">
        <f t="shared" si="38"/>
        <v>3.0000000000000002E-2</v>
      </c>
      <c r="B40" s="29" t="str">
        <f t="shared" si="30"/>
        <v/>
      </c>
      <c r="C40" s="29" t="str">
        <f t="shared" si="46"/>
        <v/>
      </c>
      <c r="D40" s="29" t="str">
        <f t="shared" si="46"/>
        <v/>
      </c>
      <c r="E40" s="29" t="str">
        <f t="shared" si="46"/>
        <v/>
      </c>
      <c r="F40" s="29" t="str">
        <f t="shared" si="46"/>
        <v/>
      </c>
      <c r="G40" s="29" t="str">
        <f t="shared" si="46"/>
        <v/>
      </c>
      <c r="H40" s="29" t="str">
        <f t="shared" si="46"/>
        <v/>
      </c>
      <c r="I40" s="29" t="str">
        <f t="shared" si="46"/>
        <v/>
      </c>
      <c r="J40" s="29" t="str">
        <f t="shared" si="46"/>
        <v/>
      </c>
      <c r="K40" s="29" t="str">
        <f t="shared" si="46"/>
        <v/>
      </c>
      <c r="L40" s="29" t="str">
        <f t="shared" si="46"/>
        <v/>
      </c>
      <c r="M40" s="29" t="str">
        <f t="shared" si="46"/>
        <v/>
      </c>
      <c r="N40" s="29" t="str">
        <f t="shared" si="46"/>
        <v/>
      </c>
      <c r="O40" s="29" t="str">
        <f t="shared" si="46"/>
        <v/>
      </c>
      <c r="P40" s="29" t="str">
        <f t="shared" si="46"/>
        <v/>
      </c>
      <c r="Q40" s="29" t="str">
        <f t="shared" si="46"/>
        <v/>
      </c>
      <c r="R40" s="29" t="str">
        <f t="shared" si="46"/>
        <v/>
      </c>
      <c r="S40" s="29" t="str">
        <f t="shared" si="46"/>
        <v/>
      </c>
      <c r="T40" s="29" t="str">
        <f t="shared" si="46"/>
        <v/>
      </c>
      <c r="U40" s="29" t="str">
        <f t="shared" si="46"/>
        <v/>
      </c>
      <c r="V40" s="29" t="str">
        <f t="shared" si="46"/>
        <v/>
      </c>
      <c r="W40" s="29" t="str">
        <f t="shared" si="46"/>
        <v/>
      </c>
      <c r="X40" s="29" t="str">
        <f t="shared" si="46"/>
        <v/>
      </c>
      <c r="Y40" s="29" t="str">
        <f t="shared" si="46"/>
        <v/>
      </c>
      <c r="Z40" s="29" t="str">
        <f t="shared" si="46"/>
        <v/>
      </c>
      <c r="AA40" s="29" t="str">
        <f t="shared" si="46"/>
        <v/>
      </c>
      <c r="AB40" s="29" t="str">
        <f t="shared" si="46"/>
        <v/>
      </c>
      <c r="AC40" s="29" t="str">
        <f t="shared" si="46"/>
        <v/>
      </c>
      <c r="AD40" s="29" t="str">
        <f t="shared" si="46"/>
        <v/>
      </c>
      <c r="AE40" s="29" t="str">
        <f t="shared" si="46"/>
        <v/>
      </c>
      <c r="AF40" s="29" t="str">
        <f t="shared" si="46"/>
        <v/>
      </c>
      <c r="AG40" s="29" t="str">
        <f t="shared" si="46"/>
        <v/>
      </c>
      <c r="AH40" s="29" t="str">
        <f t="shared" si="46"/>
        <v/>
      </c>
      <c r="AI40" s="29" t="str">
        <f t="shared" si="46"/>
        <v/>
      </c>
      <c r="AJ40" s="29" t="str">
        <f t="shared" si="46"/>
        <v/>
      </c>
      <c r="AK40" s="29" t="str">
        <f t="shared" si="46"/>
        <v/>
      </c>
      <c r="AL40" s="29" t="str">
        <f t="shared" si="46"/>
        <v/>
      </c>
      <c r="AM40" s="29" t="str">
        <f t="shared" si="46"/>
        <v/>
      </c>
      <c r="AN40" s="29" t="str">
        <f t="shared" si="46"/>
        <v/>
      </c>
      <c r="AO40" s="29" t="str">
        <f t="shared" si="46"/>
        <v/>
      </c>
      <c r="AP40" s="29" t="str">
        <f t="shared" si="46"/>
        <v/>
      </c>
      <c r="AQ40" s="29" t="str">
        <f t="shared" si="46"/>
        <v/>
      </c>
      <c r="AR40" s="29" t="str">
        <f t="shared" si="46"/>
        <v/>
      </c>
      <c r="AS40" s="29" t="str">
        <f t="shared" si="46"/>
        <v/>
      </c>
      <c r="AT40" s="29" t="str">
        <f t="shared" si="46"/>
        <v/>
      </c>
      <c r="AU40" s="29" t="str">
        <f t="shared" si="46"/>
        <v/>
      </c>
      <c r="AV40" s="29" t="str">
        <f t="shared" si="46"/>
        <v/>
      </c>
      <c r="AW40" s="29" t="str">
        <f t="shared" si="46"/>
        <v/>
      </c>
      <c r="AX40" s="29" t="str">
        <f t="shared" si="46"/>
        <v/>
      </c>
      <c r="AY40" s="29" t="str">
        <f t="shared" si="46"/>
        <v/>
      </c>
      <c r="AZ40" s="29" t="str">
        <f t="shared" si="46"/>
        <v/>
      </c>
      <c r="BA40" s="29" t="str">
        <f t="shared" si="46"/>
        <v/>
      </c>
      <c r="BB40" s="29" t="str">
        <f t="shared" si="46"/>
        <v/>
      </c>
      <c r="BC40" s="29" t="str">
        <f t="shared" si="46"/>
        <v/>
      </c>
      <c r="BD40" s="29" t="str">
        <f t="shared" si="46"/>
        <v/>
      </c>
      <c r="BE40" s="29" t="str">
        <f t="shared" si="46"/>
        <v/>
      </c>
      <c r="BF40" s="29" t="str">
        <f t="shared" si="46"/>
        <v/>
      </c>
      <c r="BG40" s="29" t="str">
        <f t="shared" si="46"/>
        <v/>
      </c>
      <c r="BH40" s="29" t="str">
        <f t="shared" si="46"/>
        <v/>
      </c>
      <c r="BI40" s="29" t="str">
        <f t="shared" si="46"/>
        <v/>
      </c>
      <c r="BJ40" s="29" t="str">
        <f t="shared" si="46"/>
        <v/>
      </c>
      <c r="BK40" s="29" t="str">
        <f t="shared" si="46"/>
        <v/>
      </c>
      <c r="BL40" s="29" t="str">
        <f t="shared" si="46"/>
        <v/>
      </c>
      <c r="BM40" s="29" t="str">
        <f t="shared" si="46"/>
        <v/>
      </c>
      <c r="BN40" s="29" t="str">
        <f t="shared" si="46"/>
        <v/>
      </c>
      <c r="BO40" s="29" t="str">
        <f t="shared" si="43"/>
        <v/>
      </c>
      <c r="BP40" s="29" t="str">
        <f t="shared" si="43"/>
        <v/>
      </c>
      <c r="BQ40" s="29" t="str">
        <f t="shared" si="43"/>
        <v/>
      </c>
      <c r="BR40" s="29" t="str">
        <f t="shared" si="43"/>
        <v/>
      </c>
      <c r="BS40" s="29" t="str">
        <f t="shared" si="43"/>
        <v/>
      </c>
      <c r="BT40" s="29" t="str">
        <f t="shared" si="43"/>
        <v/>
      </c>
      <c r="BU40" s="29" t="str">
        <f t="shared" si="43"/>
        <v/>
      </c>
      <c r="BV40" s="29" t="str">
        <f t="shared" si="43"/>
        <v/>
      </c>
      <c r="BW40" s="29" t="str">
        <f t="shared" si="43"/>
        <v/>
      </c>
      <c r="BX40" s="29" t="str">
        <f t="shared" si="43"/>
        <v/>
      </c>
      <c r="BY40" s="29" t="str">
        <f t="shared" si="43"/>
        <v/>
      </c>
      <c r="BZ40" s="29" t="str">
        <f t="shared" si="43"/>
        <v/>
      </c>
      <c r="CA40" s="29" t="str">
        <f t="shared" si="43"/>
        <v/>
      </c>
      <c r="CB40" s="29" t="str">
        <f t="shared" si="43"/>
        <v/>
      </c>
      <c r="CC40" s="29" t="str">
        <f t="shared" si="43"/>
        <v/>
      </c>
      <c r="CD40" s="29" t="str">
        <f t="shared" si="43"/>
        <v/>
      </c>
      <c r="CE40" s="29" t="str">
        <f t="shared" si="43"/>
        <v/>
      </c>
      <c r="CF40" s="29" t="str">
        <f t="shared" si="43"/>
        <v/>
      </c>
      <c r="CG40" s="29" t="str">
        <f t="shared" si="43"/>
        <v/>
      </c>
      <c r="CH40" s="29" t="str">
        <f t="shared" si="43"/>
        <v/>
      </c>
      <c r="CI40" s="29" t="str">
        <f t="shared" si="43"/>
        <v/>
      </c>
      <c r="CJ40" s="29" t="str">
        <f t="shared" si="43"/>
        <v/>
      </c>
      <c r="CK40" s="29" t="str">
        <f t="shared" si="43"/>
        <v/>
      </c>
      <c r="CL40" s="29" t="str">
        <f t="shared" si="43"/>
        <v/>
      </c>
      <c r="CM40" s="29" t="str">
        <f t="shared" si="43"/>
        <v/>
      </c>
      <c r="CN40" s="29" t="str">
        <f t="shared" si="43"/>
        <v/>
      </c>
      <c r="CO40" s="29" t="str">
        <f t="shared" si="43"/>
        <v/>
      </c>
      <c r="CP40" s="29" t="str">
        <f t="shared" si="43"/>
        <v/>
      </c>
      <c r="CQ40" s="29" t="str">
        <f t="shared" si="43"/>
        <v/>
      </c>
      <c r="CR40" s="29" t="str">
        <f t="shared" si="43"/>
        <v/>
      </c>
      <c r="CS40" s="29" t="str">
        <f t="shared" si="43"/>
        <v/>
      </c>
      <c r="CT40" s="29" t="str">
        <f t="shared" si="43"/>
        <v/>
      </c>
      <c r="CU40" s="29" t="str">
        <f t="shared" si="43"/>
        <v/>
      </c>
      <c r="CV40" s="29" t="str">
        <f t="shared" si="43"/>
        <v/>
      </c>
      <c r="CW40" s="29" t="str">
        <f t="shared" si="43"/>
        <v/>
      </c>
      <c r="CX40" s="29" t="str">
        <f t="shared" si="43"/>
        <v/>
      </c>
      <c r="CY40" s="29" t="str">
        <f t="shared" si="43"/>
        <v/>
      </c>
      <c r="CZ40" s="29" t="str">
        <f t="shared" si="43"/>
        <v/>
      </c>
      <c r="DA40" s="29" t="str">
        <f t="shared" si="43"/>
        <v/>
      </c>
      <c r="DB40" s="29" t="str">
        <f t="shared" si="43"/>
        <v/>
      </c>
      <c r="DC40" s="29" t="str">
        <f t="shared" si="43"/>
        <v/>
      </c>
      <c r="DD40" s="29" t="str">
        <f t="shared" si="43"/>
        <v/>
      </c>
      <c r="DE40" s="29" t="str">
        <f t="shared" si="43"/>
        <v/>
      </c>
      <c r="DF40" s="29" t="str">
        <f t="shared" si="43"/>
        <v/>
      </c>
      <c r="DG40" s="29" t="str">
        <f t="shared" si="43"/>
        <v/>
      </c>
      <c r="DH40" s="29" t="str">
        <f t="shared" si="43"/>
        <v/>
      </c>
      <c r="DI40" s="29" t="str">
        <f t="shared" si="43"/>
        <v/>
      </c>
      <c r="DJ40" s="29" t="str">
        <f t="shared" si="43"/>
        <v/>
      </c>
      <c r="DK40" s="29" t="str">
        <f t="shared" si="43"/>
        <v/>
      </c>
      <c r="DL40" s="29" t="str">
        <f t="shared" si="43"/>
        <v/>
      </c>
      <c r="DM40" s="29" t="str">
        <f t="shared" si="43"/>
        <v/>
      </c>
      <c r="DN40" s="29" t="str">
        <f t="shared" si="43"/>
        <v/>
      </c>
      <c r="DO40" s="29" t="str">
        <f t="shared" si="43"/>
        <v/>
      </c>
      <c r="DP40" s="29" t="str">
        <f t="shared" si="43"/>
        <v/>
      </c>
      <c r="DQ40" s="29" t="str">
        <f t="shared" si="43"/>
        <v/>
      </c>
      <c r="DR40" s="29" t="str">
        <f t="shared" si="43"/>
        <v/>
      </c>
      <c r="DS40" s="29" t="str">
        <f t="shared" si="43"/>
        <v/>
      </c>
      <c r="DT40" s="29" t="str">
        <f t="shared" si="43"/>
        <v/>
      </c>
      <c r="DU40" s="29" t="str">
        <f t="shared" si="43"/>
        <v/>
      </c>
      <c r="DV40" s="29" t="str">
        <f t="shared" si="43"/>
        <v/>
      </c>
      <c r="DW40" s="29" t="str">
        <f t="shared" si="43"/>
        <v/>
      </c>
      <c r="DX40" s="29" t="str">
        <f t="shared" si="43"/>
        <v/>
      </c>
      <c r="DY40" s="29" t="str">
        <f t="shared" si="43"/>
        <v/>
      </c>
      <c r="DZ40" s="29" t="str">
        <f t="shared" si="34"/>
        <v/>
      </c>
      <c r="EA40" s="29" t="str">
        <f t="shared" si="40"/>
        <v/>
      </c>
      <c r="EB40" s="29" t="str">
        <f t="shared" si="40"/>
        <v/>
      </c>
      <c r="EC40" s="29" t="str">
        <f t="shared" si="40"/>
        <v/>
      </c>
      <c r="ED40" s="29" t="str">
        <f t="shared" si="40"/>
        <v/>
      </c>
      <c r="EE40" s="29" t="str">
        <f t="shared" si="40"/>
        <v/>
      </c>
      <c r="EF40" s="29" t="str">
        <f t="shared" si="40"/>
        <v/>
      </c>
      <c r="EG40" s="29" t="str">
        <f t="shared" si="40"/>
        <v/>
      </c>
      <c r="EH40" s="29" t="str">
        <f t="shared" si="40"/>
        <v/>
      </c>
      <c r="EI40" s="29" t="str">
        <f t="shared" si="40"/>
        <v/>
      </c>
      <c r="EJ40" s="29" t="str">
        <f t="shared" si="40"/>
        <v/>
      </c>
      <c r="EK40" s="29" t="str">
        <f t="shared" si="40"/>
        <v/>
      </c>
      <c r="EL40" s="29" t="str">
        <f t="shared" si="40"/>
        <v/>
      </c>
      <c r="EM40" s="29" t="str">
        <f t="shared" si="40"/>
        <v/>
      </c>
      <c r="EN40" s="29" t="str">
        <f t="shared" si="40"/>
        <v/>
      </c>
      <c r="EO40" s="29" t="str">
        <f t="shared" si="40"/>
        <v/>
      </c>
      <c r="EP40" s="29" t="str">
        <f t="shared" si="40"/>
        <v/>
      </c>
      <c r="EQ40" s="29" t="str">
        <f t="shared" si="40"/>
        <v/>
      </c>
      <c r="ER40" s="29" t="str">
        <f t="shared" si="40"/>
        <v/>
      </c>
      <c r="ES40" s="29" t="str">
        <f t="shared" si="40"/>
        <v/>
      </c>
      <c r="ET40" s="29" t="str">
        <f t="shared" si="40"/>
        <v/>
      </c>
      <c r="EU40" s="29" t="str">
        <f t="shared" si="40"/>
        <v/>
      </c>
      <c r="EV40" s="29" t="str">
        <f t="shared" si="40"/>
        <v/>
      </c>
      <c r="EW40" s="29" t="str">
        <f t="shared" si="40"/>
        <v/>
      </c>
      <c r="EX40" s="29" t="str">
        <f t="shared" si="40"/>
        <v/>
      </c>
      <c r="EY40" s="29" t="str">
        <f t="shared" si="40"/>
        <v/>
      </c>
      <c r="EZ40" s="29" t="str">
        <f t="shared" si="40"/>
        <v/>
      </c>
      <c r="FA40" s="29" t="str">
        <f t="shared" si="40"/>
        <v/>
      </c>
      <c r="FB40" s="29" t="str">
        <f t="shared" si="40"/>
        <v/>
      </c>
      <c r="FC40" s="29" t="str">
        <f t="shared" si="40"/>
        <v/>
      </c>
      <c r="FD40" s="29" t="str">
        <f t="shared" si="40"/>
        <v/>
      </c>
      <c r="FE40" s="29" t="str">
        <f t="shared" si="40"/>
        <v/>
      </c>
      <c r="FF40" s="29" t="str">
        <f t="shared" si="40"/>
        <v/>
      </c>
      <c r="FG40" s="29" t="str">
        <f t="shared" si="40"/>
        <v/>
      </c>
      <c r="FH40" s="29" t="str">
        <f t="shared" si="40"/>
        <v/>
      </c>
      <c r="FI40" s="29" t="str">
        <f t="shared" si="40"/>
        <v/>
      </c>
      <c r="FJ40" s="29" t="str">
        <f t="shared" si="40"/>
        <v/>
      </c>
      <c r="FK40" s="29" t="str">
        <f t="shared" si="40"/>
        <v/>
      </c>
      <c r="FL40" s="29" t="str">
        <f t="shared" si="40"/>
        <v/>
      </c>
      <c r="FM40" s="29" t="str">
        <f t="shared" si="40"/>
        <v/>
      </c>
      <c r="FN40" s="29" t="str">
        <f t="shared" si="40"/>
        <v/>
      </c>
      <c r="FO40" s="29" t="str">
        <f t="shared" si="40"/>
        <v/>
      </c>
      <c r="FP40" s="29" t="str">
        <f t="shared" si="40"/>
        <v/>
      </c>
      <c r="FQ40" s="29" t="str">
        <f t="shared" si="40"/>
        <v/>
      </c>
      <c r="FR40" s="29" t="str">
        <f t="shared" si="40"/>
        <v/>
      </c>
      <c r="FS40" s="29" t="str">
        <f t="shared" si="40"/>
        <v/>
      </c>
      <c r="FT40" s="29" t="str">
        <f t="shared" si="40"/>
        <v/>
      </c>
      <c r="FU40" s="29" t="str">
        <f t="shared" si="40"/>
        <v/>
      </c>
      <c r="FV40" s="29" t="str">
        <f t="shared" si="40"/>
        <v/>
      </c>
      <c r="FW40" s="29" t="str">
        <f t="shared" si="40"/>
        <v/>
      </c>
      <c r="FX40" s="29" t="str">
        <f t="shared" si="40"/>
        <v/>
      </c>
      <c r="FY40" s="29" t="str">
        <f t="shared" si="40"/>
        <v/>
      </c>
      <c r="FZ40" s="29" t="str">
        <f t="shared" si="40"/>
        <v/>
      </c>
      <c r="GA40" s="29" t="str">
        <f t="shared" si="40"/>
        <v/>
      </c>
      <c r="GB40" s="29" t="str">
        <f t="shared" si="40"/>
        <v/>
      </c>
      <c r="GC40" s="29" t="str">
        <f t="shared" si="40"/>
        <v/>
      </c>
      <c r="GD40" s="29" t="str">
        <f t="shared" si="40"/>
        <v/>
      </c>
      <c r="GE40" s="29" t="str">
        <f t="shared" si="40"/>
        <v/>
      </c>
      <c r="GF40" s="29" t="str">
        <f t="shared" si="40"/>
        <v/>
      </c>
      <c r="GG40" s="29" t="str">
        <f t="shared" si="40"/>
        <v/>
      </c>
      <c r="GH40" s="29" t="str">
        <f t="shared" si="40"/>
        <v/>
      </c>
      <c r="GI40" s="29" t="str">
        <f t="shared" si="40"/>
        <v/>
      </c>
      <c r="GJ40" s="29" t="str">
        <f t="shared" si="40"/>
        <v/>
      </c>
      <c r="GK40" s="29" t="str">
        <f t="shared" si="40"/>
        <v/>
      </c>
      <c r="GL40" s="29" t="str">
        <f t="shared" ref="GL40:IW43" si="47">IFERROR(GL$27*(1+$A40)^-GL$6,"")</f>
        <v/>
      </c>
      <c r="GM40" s="29" t="str">
        <f t="shared" si="47"/>
        <v/>
      </c>
      <c r="GN40" s="29" t="str">
        <f t="shared" si="47"/>
        <v/>
      </c>
      <c r="GO40" s="29" t="str">
        <f t="shared" si="47"/>
        <v/>
      </c>
      <c r="GP40" s="29" t="str">
        <f t="shared" si="47"/>
        <v/>
      </c>
      <c r="GQ40" s="29" t="str">
        <f t="shared" si="47"/>
        <v/>
      </c>
      <c r="GR40" s="29" t="str">
        <f t="shared" si="47"/>
        <v/>
      </c>
      <c r="GS40" s="29" t="str">
        <f t="shared" si="47"/>
        <v/>
      </c>
      <c r="GT40" s="29" t="str">
        <f t="shared" si="47"/>
        <v/>
      </c>
      <c r="GU40" s="29" t="str">
        <f t="shared" si="47"/>
        <v/>
      </c>
      <c r="GV40" s="29" t="str">
        <f t="shared" si="47"/>
        <v/>
      </c>
      <c r="GW40" s="29" t="str">
        <f t="shared" si="47"/>
        <v/>
      </c>
      <c r="GX40" s="29" t="str">
        <f t="shared" si="47"/>
        <v/>
      </c>
      <c r="GY40" s="29" t="str">
        <f t="shared" si="47"/>
        <v/>
      </c>
      <c r="GZ40" s="29" t="str">
        <f t="shared" si="47"/>
        <v/>
      </c>
      <c r="HA40" s="29" t="str">
        <f t="shared" si="47"/>
        <v/>
      </c>
      <c r="HB40" s="29" t="str">
        <f t="shared" si="47"/>
        <v/>
      </c>
      <c r="HC40" s="29" t="str">
        <f t="shared" si="47"/>
        <v/>
      </c>
      <c r="HD40" s="29" t="str">
        <f t="shared" si="47"/>
        <v/>
      </c>
      <c r="HE40" s="29" t="str">
        <f t="shared" si="47"/>
        <v/>
      </c>
      <c r="HF40" s="29" t="str">
        <f t="shared" si="47"/>
        <v/>
      </c>
      <c r="HG40" s="29" t="str">
        <f t="shared" si="47"/>
        <v/>
      </c>
      <c r="HH40" s="29" t="str">
        <f t="shared" si="47"/>
        <v/>
      </c>
      <c r="HI40" s="29" t="str">
        <f t="shared" si="47"/>
        <v/>
      </c>
      <c r="HJ40" s="29" t="str">
        <f t="shared" si="47"/>
        <v/>
      </c>
      <c r="HK40" s="29" t="str">
        <f t="shared" si="47"/>
        <v/>
      </c>
      <c r="HL40" s="29" t="str">
        <f t="shared" si="47"/>
        <v/>
      </c>
      <c r="HM40" s="29" t="str">
        <f t="shared" si="47"/>
        <v/>
      </c>
      <c r="HN40" s="29" t="str">
        <f t="shared" si="47"/>
        <v/>
      </c>
      <c r="HO40" s="29" t="str">
        <f t="shared" si="47"/>
        <v/>
      </c>
      <c r="HP40" s="29" t="str">
        <f t="shared" si="47"/>
        <v/>
      </c>
      <c r="HQ40" s="29" t="str">
        <f t="shared" si="47"/>
        <v/>
      </c>
      <c r="HR40" s="29" t="str">
        <f t="shared" si="47"/>
        <v/>
      </c>
      <c r="HS40" s="29" t="str">
        <f t="shared" si="47"/>
        <v/>
      </c>
      <c r="HT40" s="29" t="str">
        <f t="shared" si="47"/>
        <v/>
      </c>
      <c r="HU40" s="29" t="str">
        <f t="shared" si="47"/>
        <v/>
      </c>
      <c r="HV40" s="29" t="str">
        <f t="shared" si="47"/>
        <v/>
      </c>
      <c r="HW40" s="29" t="str">
        <f t="shared" si="47"/>
        <v/>
      </c>
      <c r="HX40" s="29" t="str">
        <f t="shared" si="47"/>
        <v/>
      </c>
      <c r="HY40" s="29" t="str">
        <f t="shared" si="47"/>
        <v/>
      </c>
      <c r="HZ40" s="29" t="str">
        <f t="shared" si="47"/>
        <v/>
      </c>
      <c r="IA40" s="29" t="str">
        <f t="shared" si="47"/>
        <v/>
      </c>
      <c r="IB40" s="29" t="str">
        <f t="shared" si="47"/>
        <v/>
      </c>
      <c r="IC40" s="29" t="str">
        <f t="shared" si="47"/>
        <v/>
      </c>
      <c r="ID40" s="29" t="str">
        <f t="shared" si="47"/>
        <v/>
      </c>
      <c r="IE40" s="29" t="str">
        <f t="shared" si="47"/>
        <v/>
      </c>
      <c r="IF40" s="29" t="str">
        <f t="shared" si="47"/>
        <v/>
      </c>
      <c r="IG40" s="29" t="str">
        <f t="shared" si="47"/>
        <v/>
      </c>
      <c r="IH40" s="29" t="str">
        <f t="shared" si="47"/>
        <v/>
      </c>
      <c r="II40" s="29" t="str">
        <f t="shared" si="47"/>
        <v/>
      </c>
      <c r="IJ40" s="29" t="str">
        <f t="shared" si="47"/>
        <v/>
      </c>
      <c r="IK40" s="29" t="str">
        <f t="shared" si="47"/>
        <v/>
      </c>
      <c r="IL40" s="29" t="str">
        <f t="shared" si="47"/>
        <v/>
      </c>
      <c r="IM40" s="29" t="str">
        <f t="shared" si="47"/>
        <v/>
      </c>
      <c r="IN40" s="29" t="str">
        <f t="shared" si="47"/>
        <v/>
      </c>
      <c r="IO40" s="29" t="str">
        <f t="shared" si="47"/>
        <v/>
      </c>
      <c r="IP40" s="29" t="str">
        <f t="shared" si="47"/>
        <v/>
      </c>
      <c r="IQ40" s="29" t="str">
        <f t="shared" si="47"/>
        <v/>
      </c>
      <c r="IR40" s="29" t="str">
        <f t="shared" si="47"/>
        <v/>
      </c>
      <c r="IS40" s="29" t="str">
        <f t="shared" si="47"/>
        <v/>
      </c>
      <c r="IT40" s="29" t="str">
        <f t="shared" si="47"/>
        <v/>
      </c>
      <c r="IU40" s="29" t="str">
        <f t="shared" si="47"/>
        <v/>
      </c>
      <c r="IV40" s="29" t="str">
        <f t="shared" si="47"/>
        <v/>
      </c>
      <c r="IW40" s="29" t="str">
        <f t="shared" si="47"/>
        <v/>
      </c>
      <c r="IX40" s="29" t="str">
        <f t="shared" si="44"/>
        <v/>
      </c>
      <c r="IY40" s="29" t="str">
        <f t="shared" si="44"/>
        <v/>
      </c>
      <c r="IZ40" s="29" t="str">
        <f t="shared" si="44"/>
        <v/>
      </c>
      <c r="JA40" s="29" t="str">
        <f t="shared" si="41"/>
        <v/>
      </c>
      <c r="JB40" s="29" t="str">
        <f t="shared" si="45"/>
        <v/>
      </c>
      <c r="JC40" s="29" t="str">
        <f t="shared" si="45"/>
        <v/>
      </c>
      <c r="JD40" s="29" t="str">
        <f t="shared" si="45"/>
        <v/>
      </c>
      <c r="JE40" s="29" t="str">
        <f t="shared" si="45"/>
        <v/>
      </c>
      <c r="JF40" s="29" t="str">
        <f t="shared" si="45"/>
        <v/>
      </c>
      <c r="JG40" s="29" t="str">
        <f t="shared" si="45"/>
        <v/>
      </c>
      <c r="JH40" s="29" t="str">
        <f t="shared" si="45"/>
        <v/>
      </c>
      <c r="JI40" s="29" t="str">
        <f t="shared" si="45"/>
        <v/>
      </c>
      <c r="JJ40" s="29" t="str">
        <f t="shared" si="45"/>
        <v/>
      </c>
      <c r="JK40" s="29" t="str">
        <f t="shared" si="45"/>
        <v/>
      </c>
      <c r="JL40" s="29" t="str">
        <f t="shared" si="45"/>
        <v/>
      </c>
      <c r="JM40" s="29" t="str">
        <f t="shared" si="45"/>
        <v/>
      </c>
      <c r="JN40" s="29" t="str">
        <f t="shared" si="45"/>
        <v/>
      </c>
      <c r="JO40" s="29" t="str">
        <f t="shared" si="45"/>
        <v/>
      </c>
      <c r="JP40" s="29" t="str">
        <f t="shared" si="45"/>
        <v/>
      </c>
      <c r="JQ40" s="29" t="str">
        <f t="shared" si="45"/>
        <v/>
      </c>
      <c r="JR40" s="29" t="str">
        <f t="shared" si="45"/>
        <v/>
      </c>
      <c r="JS40" s="29" t="str">
        <f t="shared" si="45"/>
        <v/>
      </c>
      <c r="JT40" s="29" t="str">
        <f t="shared" si="45"/>
        <v/>
      </c>
      <c r="JU40" s="29" t="str">
        <f t="shared" si="45"/>
        <v/>
      </c>
      <c r="JV40" s="29" t="str">
        <f t="shared" si="45"/>
        <v/>
      </c>
      <c r="JW40" s="29" t="str">
        <f t="shared" si="45"/>
        <v/>
      </c>
      <c r="JX40" s="29" t="str">
        <f t="shared" si="45"/>
        <v/>
      </c>
      <c r="JY40" s="29" t="str">
        <f t="shared" si="45"/>
        <v/>
      </c>
      <c r="JZ40" s="29" t="str">
        <f t="shared" si="45"/>
        <v/>
      </c>
      <c r="KA40" s="29" t="str">
        <f t="shared" si="45"/>
        <v/>
      </c>
      <c r="KB40" s="29" t="str">
        <f t="shared" si="45"/>
        <v/>
      </c>
      <c r="KC40" s="29" t="str">
        <f t="shared" si="45"/>
        <v/>
      </c>
      <c r="KD40" s="29" t="str">
        <f t="shared" si="45"/>
        <v/>
      </c>
      <c r="KE40" s="29" t="str">
        <f t="shared" si="45"/>
        <v/>
      </c>
      <c r="KF40" s="29" t="str">
        <f t="shared" si="45"/>
        <v/>
      </c>
      <c r="KG40" s="29" t="str">
        <f t="shared" si="45"/>
        <v/>
      </c>
      <c r="KH40" s="29" t="str">
        <f t="shared" si="45"/>
        <v/>
      </c>
      <c r="KI40" s="29" t="str">
        <f t="shared" si="45"/>
        <v/>
      </c>
      <c r="KJ40" s="29" t="str">
        <f t="shared" si="45"/>
        <v/>
      </c>
      <c r="KK40" s="29" t="str">
        <f t="shared" si="45"/>
        <v/>
      </c>
      <c r="KL40" s="29" t="str">
        <f t="shared" si="45"/>
        <v/>
      </c>
      <c r="KM40" s="29" t="str">
        <f t="shared" si="45"/>
        <v/>
      </c>
      <c r="KN40" s="29" t="str">
        <f t="shared" si="45"/>
        <v/>
      </c>
      <c r="KO40" s="29" t="str">
        <f t="shared" si="45"/>
        <v/>
      </c>
      <c r="KP40" s="29" t="str">
        <f t="shared" si="45"/>
        <v/>
      </c>
    </row>
    <row r="41" spans="1:302" customFormat="1" hidden="1" outlineLevel="1" x14ac:dyDescent="0.2">
      <c r="A41" s="33">
        <v>0.14000000000000001</v>
      </c>
      <c r="B41" s="29" t="str">
        <f t="shared" si="30"/>
        <v/>
      </c>
      <c r="C41" s="29" t="str">
        <f t="shared" si="46"/>
        <v/>
      </c>
      <c r="D41" s="29" t="str">
        <f t="shared" si="46"/>
        <v/>
      </c>
      <c r="E41" s="29" t="str">
        <f t="shared" si="46"/>
        <v/>
      </c>
      <c r="F41" s="29" t="str">
        <f t="shared" si="46"/>
        <v/>
      </c>
      <c r="G41" s="29" t="str">
        <f t="shared" si="46"/>
        <v/>
      </c>
      <c r="H41" s="29" t="str">
        <f t="shared" si="46"/>
        <v/>
      </c>
      <c r="I41" s="29" t="str">
        <f t="shared" si="46"/>
        <v/>
      </c>
      <c r="J41" s="29" t="str">
        <f t="shared" si="46"/>
        <v/>
      </c>
      <c r="K41" s="29" t="str">
        <f t="shared" si="46"/>
        <v/>
      </c>
      <c r="L41" s="29" t="str">
        <f t="shared" si="46"/>
        <v/>
      </c>
      <c r="M41" s="29" t="str">
        <f t="shared" si="46"/>
        <v/>
      </c>
      <c r="N41" s="29" t="str">
        <f t="shared" si="46"/>
        <v/>
      </c>
      <c r="O41" s="29" t="str">
        <f t="shared" si="46"/>
        <v/>
      </c>
      <c r="P41" s="29" t="str">
        <f t="shared" si="46"/>
        <v/>
      </c>
      <c r="Q41" s="29" t="str">
        <f t="shared" si="46"/>
        <v/>
      </c>
      <c r="R41" s="29" t="str">
        <f t="shared" si="46"/>
        <v/>
      </c>
      <c r="S41" s="29" t="str">
        <f t="shared" si="46"/>
        <v/>
      </c>
      <c r="T41" s="29" t="str">
        <f t="shared" si="46"/>
        <v/>
      </c>
      <c r="U41" s="29" t="str">
        <f t="shared" si="46"/>
        <v/>
      </c>
      <c r="V41" s="29" t="str">
        <f t="shared" si="46"/>
        <v/>
      </c>
      <c r="W41" s="29" t="str">
        <f t="shared" si="46"/>
        <v/>
      </c>
      <c r="X41" s="29" t="str">
        <f t="shared" si="46"/>
        <v/>
      </c>
      <c r="Y41" s="29" t="str">
        <f t="shared" si="46"/>
        <v/>
      </c>
      <c r="Z41" s="29" t="str">
        <f t="shared" si="46"/>
        <v/>
      </c>
      <c r="AA41" s="29" t="str">
        <f t="shared" si="46"/>
        <v/>
      </c>
      <c r="AB41" s="29" t="str">
        <f t="shared" si="46"/>
        <v/>
      </c>
      <c r="AC41" s="29" t="str">
        <f t="shared" si="46"/>
        <v/>
      </c>
      <c r="AD41" s="29" t="str">
        <f t="shared" si="46"/>
        <v/>
      </c>
      <c r="AE41" s="29" t="str">
        <f t="shared" si="46"/>
        <v/>
      </c>
      <c r="AF41" s="29" t="str">
        <f t="shared" si="46"/>
        <v/>
      </c>
      <c r="AG41" s="29" t="str">
        <f t="shared" si="46"/>
        <v/>
      </c>
      <c r="AH41" s="29" t="str">
        <f t="shared" si="46"/>
        <v/>
      </c>
      <c r="AI41" s="29" t="str">
        <f t="shared" si="46"/>
        <v/>
      </c>
      <c r="AJ41" s="29" t="str">
        <f t="shared" si="46"/>
        <v/>
      </c>
      <c r="AK41" s="29" t="str">
        <f t="shared" si="46"/>
        <v/>
      </c>
      <c r="AL41" s="29" t="str">
        <f t="shared" si="46"/>
        <v/>
      </c>
      <c r="AM41" s="29" t="str">
        <f t="shared" si="46"/>
        <v/>
      </c>
      <c r="AN41" s="29" t="str">
        <f t="shared" si="46"/>
        <v/>
      </c>
      <c r="AO41" s="29" t="str">
        <f t="shared" si="46"/>
        <v/>
      </c>
      <c r="AP41" s="29" t="str">
        <f t="shared" si="46"/>
        <v/>
      </c>
      <c r="AQ41" s="29" t="str">
        <f t="shared" si="46"/>
        <v/>
      </c>
      <c r="AR41" s="29" t="str">
        <f t="shared" si="46"/>
        <v/>
      </c>
      <c r="AS41" s="29" t="str">
        <f t="shared" si="46"/>
        <v/>
      </c>
      <c r="AT41" s="29" t="str">
        <f t="shared" si="46"/>
        <v/>
      </c>
      <c r="AU41" s="29" t="str">
        <f t="shared" si="46"/>
        <v/>
      </c>
      <c r="AV41" s="29" t="str">
        <f t="shared" si="46"/>
        <v/>
      </c>
      <c r="AW41" s="29" t="str">
        <f t="shared" si="46"/>
        <v/>
      </c>
      <c r="AX41" s="29" t="str">
        <f t="shared" si="46"/>
        <v/>
      </c>
      <c r="AY41" s="29" t="str">
        <f t="shared" si="46"/>
        <v/>
      </c>
      <c r="AZ41" s="29" t="str">
        <f t="shared" si="46"/>
        <v/>
      </c>
      <c r="BA41" s="29" t="str">
        <f t="shared" si="46"/>
        <v/>
      </c>
      <c r="BB41" s="29" t="str">
        <f t="shared" si="46"/>
        <v/>
      </c>
      <c r="BC41" s="29" t="str">
        <f t="shared" si="46"/>
        <v/>
      </c>
      <c r="BD41" s="29" t="str">
        <f t="shared" si="46"/>
        <v/>
      </c>
      <c r="BE41" s="29" t="str">
        <f t="shared" si="46"/>
        <v/>
      </c>
      <c r="BF41" s="29" t="str">
        <f t="shared" si="46"/>
        <v/>
      </c>
      <c r="BG41" s="29" t="str">
        <f t="shared" si="46"/>
        <v/>
      </c>
      <c r="BH41" s="29" t="str">
        <f t="shared" si="46"/>
        <v/>
      </c>
      <c r="BI41" s="29" t="str">
        <f t="shared" si="46"/>
        <v/>
      </c>
      <c r="BJ41" s="29" t="str">
        <f t="shared" si="46"/>
        <v/>
      </c>
      <c r="BK41" s="29" t="str">
        <f t="shared" si="46"/>
        <v/>
      </c>
      <c r="BL41" s="29" t="str">
        <f t="shared" si="46"/>
        <v/>
      </c>
      <c r="BM41" s="29" t="str">
        <f t="shared" si="46"/>
        <v/>
      </c>
      <c r="BN41" s="29" t="str">
        <f t="shared" si="46"/>
        <v/>
      </c>
      <c r="BO41" s="29" t="str">
        <f t="shared" si="43"/>
        <v/>
      </c>
      <c r="BP41" s="29" t="str">
        <f t="shared" si="43"/>
        <v/>
      </c>
      <c r="BQ41" s="29" t="str">
        <f t="shared" si="43"/>
        <v/>
      </c>
      <c r="BR41" s="29" t="str">
        <f t="shared" si="43"/>
        <v/>
      </c>
      <c r="BS41" s="29" t="str">
        <f t="shared" si="43"/>
        <v/>
      </c>
      <c r="BT41" s="29" t="str">
        <f t="shared" si="43"/>
        <v/>
      </c>
      <c r="BU41" s="29" t="str">
        <f t="shared" si="43"/>
        <v/>
      </c>
      <c r="BV41" s="29" t="str">
        <f t="shared" si="43"/>
        <v/>
      </c>
      <c r="BW41" s="29" t="str">
        <f t="shared" si="43"/>
        <v/>
      </c>
      <c r="BX41" s="29" t="str">
        <f t="shared" si="43"/>
        <v/>
      </c>
      <c r="BY41" s="29" t="str">
        <f t="shared" si="43"/>
        <v/>
      </c>
      <c r="BZ41" s="29" t="str">
        <f t="shared" si="43"/>
        <v/>
      </c>
      <c r="CA41" s="29" t="str">
        <f t="shared" si="43"/>
        <v/>
      </c>
      <c r="CB41" s="29" t="str">
        <f t="shared" si="43"/>
        <v/>
      </c>
      <c r="CC41" s="29" t="str">
        <f t="shared" si="43"/>
        <v/>
      </c>
      <c r="CD41" s="29" t="str">
        <f t="shared" si="43"/>
        <v/>
      </c>
      <c r="CE41" s="29" t="str">
        <f t="shared" si="43"/>
        <v/>
      </c>
      <c r="CF41" s="29" t="str">
        <f t="shared" si="43"/>
        <v/>
      </c>
      <c r="CG41" s="29" t="str">
        <f t="shared" si="43"/>
        <v/>
      </c>
      <c r="CH41" s="29" t="str">
        <f t="shared" si="43"/>
        <v/>
      </c>
      <c r="CI41" s="29" t="str">
        <f t="shared" si="43"/>
        <v/>
      </c>
      <c r="CJ41" s="29" t="str">
        <f t="shared" si="43"/>
        <v/>
      </c>
      <c r="CK41" s="29" t="str">
        <f t="shared" si="43"/>
        <v/>
      </c>
      <c r="CL41" s="29" t="str">
        <f t="shared" si="43"/>
        <v/>
      </c>
      <c r="CM41" s="29" t="str">
        <f t="shared" si="43"/>
        <v/>
      </c>
      <c r="CN41" s="29" t="str">
        <f t="shared" si="43"/>
        <v/>
      </c>
      <c r="CO41" s="29" t="str">
        <f t="shared" si="43"/>
        <v/>
      </c>
      <c r="CP41" s="29" t="str">
        <f t="shared" si="43"/>
        <v/>
      </c>
      <c r="CQ41" s="29" t="str">
        <f t="shared" si="43"/>
        <v/>
      </c>
      <c r="CR41" s="29" t="str">
        <f t="shared" si="43"/>
        <v/>
      </c>
      <c r="CS41" s="29" t="str">
        <f t="shared" si="43"/>
        <v/>
      </c>
      <c r="CT41" s="29" t="str">
        <f t="shared" si="43"/>
        <v/>
      </c>
      <c r="CU41" s="29" t="str">
        <f t="shared" si="43"/>
        <v/>
      </c>
      <c r="CV41" s="29" t="str">
        <f t="shared" si="43"/>
        <v/>
      </c>
      <c r="CW41" s="29" t="str">
        <f t="shared" si="43"/>
        <v/>
      </c>
      <c r="CX41" s="29" t="str">
        <f t="shared" si="43"/>
        <v/>
      </c>
      <c r="CY41" s="29" t="str">
        <f t="shared" si="43"/>
        <v/>
      </c>
      <c r="CZ41" s="29" t="str">
        <f t="shared" si="43"/>
        <v/>
      </c>
      <c r="DA41" s="29" t="str">
        <f t="shared" si="43"/>
        <v/>
      </c>
      <c r="DB41" s="29" t="str">
        <f t="shared" si="43"/>
        <v/>
      </c>
      <c r="DC41" s="29" t="str">
        <f t="shared" si="43"/>
        <v/>
      </c>
      <c r="DD41" s="29" t="str">
        <f t="shared" si="43"/>
        <v/>
      </c>
      <c r="DE41" s="29" t="str">
        <f t="shared" si="43"/>
        <v/>
      </c>
      <c r="DF41" s="29" t="str">
        <f t="shared" si="43"/>
        <v/>
      </c>
      <c r="DG41" s="29" t="str">
        <f t="shared" si="43"/>
        <v/>
      </c>
      <c r="DH41" s="29" t="str">
        <f t="shared" si="43"/>
        <v/>
      </c>
      <c r="DI41" s="29" t="str">
        <f t="shared" si="43"/>
        <v/>
      </c>
      <c r="DJ41" s="29" t="str">
        <f t="shared" si="43"/>
        <v/>
      </c>
      <c r="DK41" s="29" t="str">
        <f t="shared" si="43"/>
        <v/>
      </c>
      <c r="DL41" s="29" t="str">
        <f t="shared" si="43"/>
        <v/>
      </c>
      <c r="DM41" s="29" t="str">
        <f t="shared" si="43"/>
        <v/>
      </c>
      <c r="DN41" s="29" t="str">
        <f t="shared" si="43"/>
        <v/>
      </c>
      <c r="DO41" s="29" t="str">
        <f t="shared" si="43"/>
        <v/>
      </c>
      <c r="DP41" s="29" t="str">
        <f t="shared" si="43"/>
        <v/>
      </c>
      <c r="DQ41" s="29" t="str">
        <f t="shared" si="43"/>
        <v/>
      </c>
      <c r="DR41" s="29" t="str">
        <f t="shared" si="43"/>
        <v/>
      </c>
      <c r="DS41" s="29" t="str">
        <f t="shared" si="43"/>
        <v/>
      </c>
      <c r="DT41" s="29" t="str">
        <f t="shared" si="43"/>
        <v/>
      </c>
      <c r="DU41" s="29" t="str">
        <f t="shared" si="43"/>
        <v/>
      </c>
      <c r="DV41" s="29" t="str">
        <f t="shared" si="43"/>
        <v/>
      </c>
      <c r="DW41" s="29" t="str">
        <f t="shared" si="43"/>
        <v/>
      </c>
      <c r="DX41" s="29" t="str">
        <f t="shared" si="43"/>
        <v/>
      </c>
      <c r="DY41" s="29" t="str">
        <f t="shared" si="43"/>
        <v/>
      </c>
      <c r="DZ41" s="29" t="str">
        <f t="shared" si="34"/>
        <v/>
      </c>
      <c r="EA41" s="29" t="str">
        <f t="shared" ref="EA41:GL43" si="48">IFERROR(EA$27*(1+$A41)^-EA$6,"")</f>
        <v/>
      </c>
      <c r="EB41" s="29" t="str">
        <f t="shared" si="48"/>
        <v/>
      </c>
      <c r="EC41" s="29" t="str">
        <f t="shared" si="48"/>
        <v/>
      </c>
      <c r="ED41" s="29" t="str">
        <f t="shared" si="48"/>
        <v/>
      </c>
      <c r="EE41" s="29" t="str">
        <f t="shared" si="48"/>
        <v/>
      </c>
      <c r="EF41" s="29" t="str">
        <f t="shared" si="48"/>
        <v/>
      </c>
      <c r="EG41" s="29" t="str">
        <f t="shared" si="48"/>
        <v/>
      </c>
      <c r="EH41" s="29" t="str">
        <f t="shared" si="48"/>
        <v/>
      </c>
      <c r="EI41" s="29" t="str">
        <f t="shared" si="48"/>
        <v/>
      </c>
      <c r="EJ41" s="29" t="str">
        <f t="shared" si="48"/>
        <v/>
      </c>
      <c r="EK41" s="29" t="str">
        <f t="shared" si="48"/>
        <v/>
      </c>
      <c r="EL41" s="29" t="str">
        <f t="shared" si="48"/>
        <v/>
      </c>
      <c r="EM41" s="29" t="str">
        <f t="shared" si="48"/>
        <v/>
      </c>
      <c r="EN41" s="29" t="str">
        <f t="shared" si="48"/>
        <v/>
      </c>
      <c r="EO41" s="29" t="str">
        <f t="shared" si="48"/>
        <v/>
      </c>
      <c r="EP41" s="29" t="str">
        <f t="shared" si="48"/>
        <v/>
      </c>
      <c r="EQ41" s="29" t="str">
        <f t="shared" si="48"/>
        <v/>
      </c>
      <c r="ER41" s="29" t="str">
        <f t="shared" si="48"/>
        <v/>
      </c>
      <c r="ES41" s="29" t="str">
        <f t="shared" si="48"/>
        <v/>
      </c>
      <c r="ET41" s="29" t="str">
        <f t="shared" si="48"/>
        <v/>
      </c>
      <c r="EU41" s="29" t="str">
        <f t="shared" si="48"/>
        <v/>
      </c>
      <c r="EV41" s="29" t="str">
        <f t="shared" si="48"/>
        <v/>
      </c>
      <c r="EW41" s="29" t="str">
        <f t="shared" si="48"/>
        <v/>
      </c>
      <c r="EX41" s="29" t="str">
        <f t="shared" si="48"/>
        <v/>
      </c>
      <c r="EY41" s="29" t="str">
        <f t="shared" si="48"/>
        <v/>
      </c>
      <c r="EZ41" s="29" t="str">
        <f t="shared" si="48"/>
        <v/>
      </c>
      <c r="FA41" s="29" t="str">
        <f t="shared" si="48"/>
        <v/>
      </c>
      <c r="FB41" s="29" t="str">
        <f t="shared" si="48"/>
        <v/>
      </c>
      <c r="FC41" s="29" t="str">
        <f t="shared" si="48"/>
        <v/>
      </c>
      <c r="FD41" s="29" t="str">
        <f t="shared" si="48"/>
        <v/>
      </c>
      <c r="FE41" s="29" t="str">
        <f t="shared" si="48"/>
        <v/>
      </c>
      <c r="FF41" s="29" t="str">
        <f t="shared" si="48"/>
        <v/>
      </c>
      <c r="FG41" s="29" t="str">
        <f t="shared" si="48"/>
        <v/>
      </c>
      <c r="FH41" s="29" t="str">
        <f t="shared" si="48"/>
        <v/>
      </c>
      <c r="FI41" s="29" t="str">
        <f t="shared" si="48"/>
        <v/>
      </c>
      <c r="FJ41" s="29" t="str">
        <f t="shared" si="48"/>
        <v/>
      </c>
      <c r="FK41" s="29" t="str">
        <f t="shared" si="48"/>
        <v/>
      </c>
      <c r="FL41" s="29" t="str">
        <f t="shared" si="48"/>
        <v/>
      </c>
      <c r="FM41" s="29" t="str">
        <f t="shared" si="48"/>
        <v/>
      </c>
      <c r="FN41" s="29" t="str">
        <f t="shared" si="48"/>
        <v/>
      </c>
      <c r="FO41" s="29" t="str">
        <f t="shared" si="48"/>
        <v/>
      </c>
      <c r="FP41" s="29" t="str">
        <f t="shared" si="48"/>
        <v/>
      </c>
      <c r="FQ41" s="29" t="str">
        <f t="shared" si="48"/>
        <v/>
      </c>
      <c r="FR41" s="29" t="str">
        <f t="shared" si="48"/>
        <v/>
      </c>
      <c r="FS41" s="29" t="str">
        <f t="shared" si="48"/>
        <v/>
      </c>
      <c r="FT41" s="29" t="str">
        <f t="shared" si="48"/>
        <v/>
      </c>
      <c r="FU41" s="29" t="str">
        <f t="shared" si="48"/>
        <v/>
      </c>
      <c r="FV41" s="29" t="str">
        <f t="shared" si="48"/>
        <v/>
      </c>
      <c r="FW41" s="29" t="str">
        <f t="shared" si="48"/>
        <v/>
      </c>
      <c r="FX41" s="29" t="str">
        <f t="shared" si="48"/>
        <v/>
      </c>
      <c r="FY41" s="29" t="str">
        <f t="shared" si="48"/>
        <v/>
      </c>
      <c r="FZ41" s="29" t="str">
        <f t="shared" si="48"/>
        <v/>
      </c>
      <c r="GA41" s="29" t="str">
        <f t="shared" si="48"/>
        <v/>
      </c>
      <c r="GB41" s="29" t="str">
        <f t="shared" si="48"/>
        <v/>
      </c>
      <c r="GC41" s="29" t="str">
        <f t="shared" si="48"/>
        <v/>
      </c>
      <c r="GD41" s="29" t="str">
        <f t="shared" si="48"/>
        <v/>
      </c>
      <c r="GE41" s="29" t="str">
        <f t="shared" si="48"/>
        <v/>
      </c>
      <c r="GF41" s="29" t="str">
        <f t="shared" si="48"/>
        <v/>
      </c>
      <c r="GG41" s="29" t="str">
        <f t="shared" si="48"/>
        <v/>
      </c>
      <c r="GH41" s="29" t="str">
        <f t="shared" si="48"/>
        <v/>
      </c>
      <c r="GI41" s="29" t="str">
        <f t="shared" si="48"/>
        <v/>
      </c>
      <c r="GJ41" s="29" t="str">
        <f t="shared" si="48"/>
        <v/>
      </c>
      <c r="GK41" s="29" t="str">
        <f t="shared" si="48"/>
        <v/>
      </c>
      <c r="GL41" s="29" t="str">
        <f t="shared" si="48"/>
        <v/>
      </c>
      <c r="GM41" s="29" t="str">
        <f t="shared" si="47"/>
        <v/>
      </c>
      <c r="GN41" s="29" t="str">
        <f t="shared" si="47"/>
        <v/>
      </c>
      <c r="GO41" s="29" t="str">
        <f t="shared" si="47"/>
        <v/>
      </c>
      <c r="GP41" s="29" t="str">
        <f t="shared" si="47"/>
        <v/>
      </c>
      <c r="GQ41" s="29" t="str">
        <f t="shared" si="47"/>
        <v/>
      </c>
      <c r="GR41" s="29" t="str">
        <f t="shared" si="47"/>
        <v/>
      </c>
      <c r="GS41" s="29" t="str">
        <f t="shared" si="47"/>
        <v/>
      </c>
      <c r="GT41" s="29" t="str">
        <f t="shared" si="47"/>
        <v/>
      </c>
      <c r="GU41" s="29" t="str">
        <f t="shared" si="47"/>
        <v/>
      </c>
      <c r="GV41" s="29" t="str">
        <f t="shared" si="47"/>
        <v/>
      </c>
      <c r="GW41" s="29" t="str">
        <f t="shared" si="47"/>
        <v/>
      </c>
      <c r="GX41" s="29" t="str">
        <f t="shared" si="47"/>
        <v/>
      </c>
      <c r="GY41" s="29" t="str">
        <f t="shared" si="47"/>
        <v/>
      </c>
      <c r="GZ41" s="29" t="str">
        <f t="shared" si="47"/>
        <v/>
      </c>
      <c r="HA41" s="29" t="str">
        <f t="shared" si="47"/>
        <v/>
      </c>
      <c r="HB41" s="29" t="str">
        <f t="shared" si="47"/>
        <v/>
      </c>
      <c r="HC41" s="29" t="str">
        <f t="shared" si="47"/>
        <v/>
      </c>
      <c r="HD41" s="29" t="str">
        <f t="shared" si="47"/>
        <v/>
      </c>
      <c r="HE41" s="29" t="str">
        <f t="shared" si="47"/>
        <v/>
      </c>
      <c r="HF41" s="29" t="str">
        <f t="shared" si="47"/>
        <v/>
      </c>
      <c r="HG41" s="29" t="str">
        <f t="shared" si="47"/>
        <v/>
      </c>
      <c r="HH41" s="29" t="str">
        <f t="shared" si="47"/>
        <v/>
      </c>
      <c r="HI41" s="29" t="str">
        <f t="shared" si="47"/>
        <v/>
      </c>
      <c r="HJ41" s="29" t="str">
        <f t="shared" si="47"/>
        <v/>
      </c>
      <c r="HK41" s="29" t="str">
        <f t="shared" si="47"/>
        <v/>
      </c>
      <c r="HL41" s="29" t="str">
        <f t="shared" si="47"/>
        <v/>
      </c>
      <c r="HM41" s="29" t="str">
        <f t="shared" si="47"/>
        <v/>
      </c>
      <c r="HN41" s="29" t="str">
        <f t="shared" si="47"/>
        <v/>
      </c>
      <c r="HO41" s="29" t="str">
        <f t="shared" si="47"/>
        <v/>
      </c>
      <c r="HP41" s="29" t="str">
        <f t="shared" si="47"/>
        <v/>
      </c>
      <c r="HQ41" s="29" t="str">
        <f t="shared" si="47"/>
        <v/>
      </c>
      <c r="HR41" s="29" t="str">
        <f t="shared" si="47"/>
        <v/>
      </c>
      <c r="HS41" s="29" t="str">
        <f t="shared" si="47"/>
        <v/>
      </c>
      <c r="HT41" s="29" t="str">
        <f t="shared" si="47"/>
        <v/>
      </c>
      <c r="HU41" s="29" t="str">
        <f t="shared" si="47"/>
        <v/>
      </c>
      <c r="HV41" s="29" t="str">
        <f t="shared" si="47"/>
        <v/>
      </c>
      <c r="HW41" s="29" t="str">
        <f t="shared" si="47"/>
        <v/>
      </c>
      <c r="HX41" s="29" t="str">
        <f t="shared" si="47"/>
        <v/>
      </c>
      <c r="HY41" s="29" t="str">
        <f t="shared" si="47"/>
        <v/>
      </c>
      <c r="HZ41" s="29" t="str">
        <f t="shared" si="47"/>
        <v/>
      </c>
      <c r="IA41" s="29" t="str">
        <f t="shared" si="47"/>
        <v/>
      </c>
      <c r="IB41" s="29" t="str">
        <f t="shared" si="47"/>
        <v/>
      </c>
      <c r="IC41" s="29" t="str">
        <f t="shared" si="47"/>
        <v/>
      </c>
      <c r="ID41" s="29" t="str">
        <f t="shared" si="47"/>
        <v/>
      </c>
      <c r="IE41" s="29" t="str">
        <f t="shared" si="47"/>
        <v/>
      </c>
      <c r="IF41" s="29" t="str">
        <f t="shared" si="47"/>
        <v/>
      </c>
      <c r="IG41" s="29" t="str">
        <f t="shared" si="47"/>
        <v/>
      </c>
      <c r="IH41" s="29" t="str">
        <f t="shared" si="47"/>
        <v/>
      </c>
      <c r="II41" s="29" t="str">
        <f t="shared" si="47"/>
        <v/>
      </c>
      <c r="IJ41" s="29" t="str">
        <f t="shared" si="47"/>
        <v/>
      </c>
      <c r="IK41" s="29" t="str">
        <f t="shared" si="47"/>
        <v/>
      </c>
      <c r="IL41" s="29" t="str">
        <f t="shared" si="47"/>
        <v/>
      </c>
      <c r="IM41" s="29" t="str">
        <f t="shared" si="47"/>
        <v/>
      </c>
      <c r="IN41" s="29" t="str">
        <f t="shared" si="47"/>
        <v/>
      </c>
      <c r="IO41" s="29" t="str">
        <f t="shared" si="47"/>
        <v/>
      </c>
      <c r="IP41" s="29" t="str">
        <f t="shared" si="47"/>
        <v/>
      </c>
      <c r="IQ41" s="29" t="str">
        <f t="shared" si="47"/>
        <v/>
      </c>
      <c r="IR41" s="29" t="str">
        <f t="shared" si="47"/>
        <v/>
      </c>
      <c r="IS41" s="29" t="str">
        <f t="shared" si="47"/>
        <v/>
      </c>
      <c r="IT41" s="29" t="str">
        <f t="shared" si="47"/>
        <v/>
      </c>
      <c r="IU41" s="29" t="str">
        <f t="shared" si="47"/>
        <v/>
      </c>
      <c r="IV41" s="29" t="str">
        <f t="shared" si="47"/>
        <v/>
      </c>
      <c r="IW41" s="29" t="str">
        <f t="shared" si="47"/>
        <v/>
      </c>
      <c r="IX41" s="29" t="str">
        <f t="shared" si="44"/>
        <v/>
      </c>
      <c r="IY41" s="29" t="str">
        <f t="shared" si="44"/>
        <v/>
      </c>
      <c r="IZ41" s="29" t="str">
        <f t="shared" si="44"/>
        <v/>
      </c>
      <c r="JA41" s="29" t="str">
        <f t="shared" si="41"/>
        <v/>
      </c>
      <c r="JB41" s="29" t="str">
        <f t="shared" si="45"/>
        <v/>
      </c>
      <c r="JC41" s="29" t="str">
        <f t="shared" si="45"/>
        <v/>
      </c>
      <c r="JD41" s="29" t="str">
        <f t="shared" si="45"/>
        <v/>
      </c>
      <c r="JE41" s="29" t="str">
        <f t="shared" si="45"/>
        <v/>
      </c>
      <c r="JF41" s="29" t="str">
        <f t="shared" si="45"/>
        <v/>
      </c>
      <c r="JG41" s="29" t="str">
        <f t="shared" si="45"/>
        <v/>
      </c>
      <c r="JH41" s="29" t="str">
        <f t="shared" si="45"/>
        <v/>
      </c>
      <c r="JI41" s="29" t="str">
        <f t="shared" si="45"/>
        <v/>
      </c>
      <c r="JJ41" s="29" t="str">
        <f t="shared" si="45"/>
        <v/>
      </c>
      <c r="JK41" s="29" t="str">
        <f t="shared" si="45"/>
        <v/>
      </c>
      <c r="JL41" s="29" t="str">
        <f t="shared" si="45"/>
        <v/>
      </c>
      <c r="JM41" s="29" t="str">
        <f t="shared" si="45"/>
        <v/>
      </c>
      <c r="JN41" s="29" t="str">
        <f t="shared" si="45"/>
        <v/>
      </c>
      <c r="JO41" s="29" t="str">
        <f t="shared" si="45"/>
        <v/>
      </c>
      <c r="JP41" s="29" t="str">
        <f t="shared" si="45"/>
        <v/>
      </c>
      <c r="JQ41" s="29" t="str">
        <f t="shared" si="45"/>
        <v/>
      </c>
      <c r="JR41" s="29" t="str">
        <f t="shared" si="45"/>
        <v/>
      </c>
      <c r="JS41" s="29" t="str">
        <f t="shared" si="45"/>
        <v/>
      </c>
      <c r="JT41" s="29" t="str">
        <f t="shared" si="45"/>
        <v/>
      </c>
      <c r="JU41" s="29" t="str">
        <f t="shared" si="45"/>
        <v/>
      </c>
      <c r="JV41" s="29" t="str">
        <f t="shared" si="45"/>
        <v/>
      </c>
      <c r="JW41" s="29" t="str">
        <f t="shared" si="45"/>
        <v/>
      </c>
      <c r="JX41" s="29" t="str">
        <f t="shared" si="45"/>
        <v/>
      </c>
      <c r="JY41" s="29" t="str">
        <f t="shared" si="45"/>
        <v/>
      </c>
      <c r="JZ41" s="29" t="str">
        <f t="shared" si="45"/>
        <v/>
      </c>
      <c r="KA41" s="29" t="str">
        <f t="shared" si="45"/>
        <v/>
      </c>
      <c r="KB41" s="29" t="str">
        <f t="shared" si="45"/>
        <v/>
      </c>
      <c r="KC41" s="29" t="str">
        <f t="shared" si="45"/>
        <v/>
      </c>
      <c r="KD41" s="29" t="str">
        <f t="shared" si="45"/>
        <v/>
      </c>
      <c r="KE41" s="29" t="str">
        <f t="shared" si="45"/>
        <v/>
      </c>
      <c r="KF41" s="29" t="str">
        <f t="shared" si="45"/>
        <v/>
      </c>
      <c r="KG41" s="29" t="str">
        <f t="shared" si="45"/>
        <v/>
      </c>
      <c r="KH41" s="29" t="str">
        <f t="shared" si="45"/>
        <v/>
      </c>
      <c r="KI41" s="29" t="str">
        <f t="shared" si="45"/>
        <v/>
      </c>
      <c r="KJ41" s="29" t="str">
        <f t="shared" si="45"/>
        <v/>
      </c>
      <c r="KK41" s="29" t="str">
        <f t="shared" si="45"/>
        <v/>
      </c>
      <c r="KL41" s="29" t="str">
        <f t="shared" si="45"/>
        <v/>
      </c>
      <c r="KM41" s="29" t="str">
        <f t="shared" si="45"/>
        <v/>
      </c>
      <c r="KN41" s="29" t="str">
        <f t="shared" si="45"/>
        <v/>
      </c>
      <c r="KO41" s="29" t="str">
        <f t="shared" si="45"/>
        <v/>
      </c>
      <c r="KP41" s="29" t="str">
        <f t="shared" si="45"/>
        <v/>
      </c>
    </row>
    <row r="42" spans="1:302" customFormat="1" hidden="1" outlineLevel="1" x14ac:dyDescent="0.2">
      <c r="A42" s="33">
        <v>0.15</v>
      </c>
      <c r="B42" s="29" t="str">
        <f t="shared" si="30"/>
        <v/>
      </c>
      <c r="C42" s="29" t="str">
        <f t="shared" si="46"/>
        <v/>
      </c>
      <c r="D42" s="29" t="str">
        <f t="shared" si="46"/>
        <v/>
      </c>
      <c r="E42" s="29" t="str">
        <f t="shared" si="46"/>
        <v/>
      </c>
      <c r="F42" s="29" t="str">
        <f t="shared" si="46"/>
        <v/>
      </c>
      <c r="G42" s="29" t="str">
        <f t="shared" si="46"/>
        <v/>
      </c>
      <c r="H42" s="29" t="str">
        <f t="shared" si="46"/>
        <v/>
      </c>
      <c r="I42" s="29" t="str">
        <f t="shared" si="46"/>
        <v/>
      </c>
      <c r="J42" s="29" t="str">
        <f t="shared" si="46"/>
        <v/>
      </c>
      <c r="K42" s="29" t="str">
        <f t="shared" si="46"/>
        <v/>
      </c>
      <c r="L42" s="29" t="str">
        <f t="shared" si="46"/>
        <v/>
      </c>
      <c r="M42" s="29" t="str">
        <f t="shared" si="46"/>
        <v/>
      </c>
      <c r="N42" s="29" t="str">
        <f t="shared" si="46"/>
        <v/>
      </c>
      <c r="O42" s="29" t="str">
        <f t="shared" si="46"/>
        <v/>
      </c>
      <c r="P42" s="29" t="str">
        <f t="shared" si="46"/>
        <v/>
      </c>
      <c r="Q42" s="29" t="str">
        <f t="shared" si="46"/>
        <v/>
      </c>
      <c r="R42" s="29" t="str">
        <f t="shared" si="46"/>
        <v/>
      </c>
      <c r="S42" s="29" t="str">
        <f t="shared" si="46"/>
        <v/>
      </c>
      <c r="T42" s="29" t="str">
        <f t="shared" si="46"/>
        <v/>
      </c>
      <c r="U42" s="29" t="str">
        <f t="shared" si="46"/>
        <v/>
      </c>
      <c r="V42" s="29" t="str">
        <f t="shared" si="46"/>
        <v/>
      </c>
      <c r="W42" s="29" t="str">
        <f t="shared" si="46"/>
        <v/>
      </c>
      <c r="X42" s="29" t="str">
        <f t="shared" si="46"/>
        <v/>
      </c>
      <c r="Y42" s="29" t="str">
        <f t="shared" si="46"/>
        <v/>
      </c>
      <c r="Z42" s="29" t="str">
        <f t="shared" si="46"/>
        <v/>
      </c>
      <c r="AA42" s="29" t="str">
        <f t="shared" si="46"/>
        <v/>
      </c>
      <c r="AB42" s="29" t="str">
        <f t="shared" si="46"/>
        <v/>
      </c>
      <c r="AC42" s="29" t="str">
        <f t="shared" si="46"/>
        <v/>
      </c>
      <c r="AD42" s="29" t="str">
        <f t="shared" si="46"/>
        <v/>
      </c>
      <c r="AE42" s="29" t="str">
        <f t="shared" si="46"/>
        <v/>
      </c>
      <c r="AF42" s="29" t="str">
        <f t="shared" si="46"/>
        <v/>
      </c>
      <c r="AG42" s="29" t="str">
        <f t="shared" si="46"/>
        <v/>
      </c>
      <c r="AH42" s="29" t="str">
        <f t="shared" si="46"/>
        <v/>
      </c>
      <c r="AI42" s="29" t="str">
        <f t="shared" si="46"/>
        <v/>
      </c>
      <c r="AJ42" s="29" t="str">
        <f t="shared" si="46"/>
        <v/>
      </c>
      <c r="AK42" s="29" t="str">
        <f t="shared" si="46"/>
        <v/>
      </c>
      <c r="AL42" s="29" t="str">
        <f t="shared" si="46"/>
        <v/>
      </c>
      <c r="AM42" s="29" t="str">
        <f t="shared" si="46"/>
        <v/>
      </c>
      <c r="AN42" s="29" t="str">
        <f t="shared" si="46"/>
        <v/>
      </c>
      <c r="AO42" s="29" t="str">
        <f t="shared" si="46"/>
        <v/>
      </c>
      <c r="AP42" s="29" t="str">
        <f t="shared" si="46"/>
        <v/>
      </c>
      <c r="AQ42" s="29" t="str">
        <f t="shared" si="46"/>
        <v/>
      </c>
      <c r="AR42" s="29" t="str">
        <f t="shared" si="46"/>
        <v/>
      </c>
      <c r="AS42" s="29" t="str">
        <f t="shared" si="46"/>
        <v/>
      </c>
      <c r="AT42" s="29" t="str">
        <f t="shared" si="46"/>
        <v/>
      </c>
      <c r="AU42" s="29" t="str">
        <f t="shared" si="46"/>
        <v/>
      </c>
      <c r="AV42" s="29" t="str">
        <f t="shared" si="46"/>
        <v/>
      </c>
      <c r="AW42" s="29" t="str">
        <f t="shared" si="46"/>
        <v/>
      </c>
      <c r="AX42" s="29" t="str">
        <f t="shared" si="46"/>
        <v/>
      </c>
      <c r="AY42" s="29" t="str">
        <f t="shared" si="46"/>
        <v/>
      </c>
      <c r="AZ42" s="29" t="str">
        <f t="shared" si="46"/>
        <v/>
      </c>
      <c r="BA42" s="29" t="str">
        <f t="shared" si="46"/>
        <v/>
      </c>
      <c r="BB42" s="29" t="str">
        <f t="shared" si="46"/>
        <v/>
      </c>
      <c r="BC42" s="29" t="str">
        <f t="shared" si="46"/>
        <v/>
      </c>
      <c r="BD42" s="29" t="str">
        <f t="shared" si="46"/>
        <v/>
      </c>
      <c r="BE42" s="29" t="str">
        <f t="shared" si="46"/>
        <v/>
      </c>
      <c r="BF42" s="29" t="str">
        <f t="shared" si="46"/>
        <v/>
      </c>
      <c r="BG42" s="29" t="str">
        <f t="shared" si="46"/>
        <v/>
      </c>
      <c r="BH42" s="29" t="str">
        <f t="shared" si="46"/>
        <v/>
      </c>
      <c r="BI42" s="29" t="str">
        <f t="shared" si="46"/>
        <v/>
      </c>
      <c r="BJ42" s="29" t="str">
        <f t="shared" si="46"/>
        <v/>
      </c>
      <c r="BK42" s="29" t="str">
        <f t="shared" si="46"/>
        <v/>
      </c>
      <c r="BL42" s="29" t="str">
        <f t="shared" si="46"/>
        <v/>
      </c>
      <c r="BM42" s="29" t="str">
        <f t="shared" si="46"/>
        <v/>
      </c>
      <c r="BN42" s="29" t="str">
        <f t="shared" ref="BN42:DY43" si="49">IFERROR(BN$27*(1+$A42)^-BN$6,"")</f>
        <v/>
      </c>
      <c r="BO42" s="29" t="str">
        <f t="shared" si="49"/>
        <v/>
      </c>
      <c r="BP42" s="29" t="str">
        <f t="shared" si="49"/>
        <v/>
      </c>
      <c r="BQ42" s="29" t="str">
        <f t="shared" si="49"/>
        <v/>
      </c>
      <c r="BR42" s="29" t="str">
        <f t="shared" si="49"/>
        <v/>
      </c>
      <c r="BS42" s="29" t="str">
        <f t="shared" si="49"/>
        <v/>
      </c>
      <c r="BT42" s="29" t="str">
        <f t="shared" si="49"/>
        <v/>
      </c>
      <c r="BU42" s="29" t="str">
        <f t="shared" si="49"/>
        <v/>
      </c>
      <c r="BV42" s="29" t="str">
        <f t="shared" si="49"/>
        <v/>
      </c>
      <c r="BW42" s="29" t="str">
        <f t="shared" si="49"/>
        <v/>
      </c>
      <c r="BX42" s="29" t="str">
        <f t="shared" si="49"/>
        <v/>
      </c>
      <c r="BY42" s="29" t="str">
        <f t="shared" si="49"/>
        <v/>
      </c>
      <c r="BZ42" s="29" t="str">
        <f t="shared" si="49"/>
        <v/>
      </c>
      <c r="CA42" s="29" t="str">
        <f t="shared" si="49"/>
        <v/>
      </c>
      <c r="CB42" s="29" t="str">
        <f t="shared" si="49"/>
        <v/>
      </c>
      <c r="CC42" s="29" t="str">
        <f t="shared" si="49"/>
        <v/>
      </c>
      <c r="CD42" s="29" t="str">
        <f t="shared" si="49"/>
        <v/>
      </c>
      <c r="CE42" s="29" t="str">
        <f t="shared" si="49"/>
        <v/>
      </c>
      <c r="CF42" s="29" t="str">
        <f t="shared" si="49"/>
        <v/>
      </c>
      <c r="CG42" s="29" t="str">
        <f t="shared" si="49"/>
        <v/>
      </c>
      <c r="CH42" s="29" t="str">
        <f t="shared" si="49"/>
        <v/>
      </c>
      <c r="CI42" s="29" t="str">
        <f t="shared" si="49"/>
        <v/>
      </c>
      <c r="CJ42" s="29" t="str">
        <f t="shared" si="49"/>
        <v/>
      </c>
      <c r="CK42" s="29" t="str">
        <f t="shared" si="49"/>
        <v/>
      </c>
      <c r="CL42" s="29" t="str">
        <f t="shared" si="49"/>
        <v/>
      </c>
      <c r="CM42" s="29" t="str">
        <f t="shared" si="49"/>
        <v/>
      </c>
      <c r="CN42" s="29" t="str">
        <f t="shared" si="49"/>
        <v/>
      </c>
      <c r="CO42" s="29" t="str">
        <f t="shared" si="49"/>
        <v/>
      </c>
      <c r="CP42" s="29" t="str">
        <f t="shared" si="49"/>
        <v/>
      </c>
      <c r="CQ42" s="29" t="str">
        <f t="shared" si="49"/>
        <v/>
      </c>
      <c r="CR42" s="29" t="str">
        <f t="shared" si="49"/>
        <v/>
      </c>
      <c r="CS42" s="29" t="str">
        <f t="shared" si="49"/>
        <v/>
      </c>
      <c r="CT42" s="29" t="str">
        <f t="shared" si="49"/>
        <v/>
      </c>
      <c r="CU42" s="29" t="str">
        <f t="shared" si="49"/>
        <v/>
      </c>
      <c r="CV42" s="29" t="str">
        <f t="shared" si="49"/>
        <v/>
      </c>
      <c r="CW42" s="29" t="str">
        <f t="shared" si="49"/>
        <v/>
      </c>
      <c r="CX42" s="29" t="str">
        <f t="shared" si="49"/>
        <v/>
      </c>
      <c r="CY42" s="29" t="str">
        <f t="shared" si="49"/>
        <v/>
      </c>
      <c r="CZ42" s="29" t="str">
        <f t="shared" si="49"/>
        <v/>
      </c>
      <c r="DA42" s="29" t="str">
        <f t="shared" si="49"/>
        <v/>
      </c>
      <c r="DB42" s="29" t="str">
        <f t="shared" si="49"/>
        <v/>
      </c>
      <c r="DC42" s="29" t="str">
        <f t="shared" si="49"/>
        <v/>
      </c>
      <c r="DD42" s="29" t="str">
        <f t="shared" si="49"/>
        <v/>
      </c>
      <c r="DE42" s="29" t="str">
        <f t="shared" si="49"/>
        <v/>
      </c>
      <c r="DF42" s="29" t="str">
        <f t="shared" si="49"/>
        <v/>
      </c>
      <c r="DG42" s="29" t="str">
        <f t="shared" si="49"/>
        <v/>
      </c>
      <c r="DH42" s="29" t="str">
        <f t="shared" si="49"/>
        <v/>
      </c>
      <c r="DI42" s="29" t="str">
        <f t="shared" si="49"/>
        <v/>
      </c>
      <c r="DJ42" s="29" t="str">
        <f t="shared" si="49"/>
        <v/>
      </c>
      <c r="DK42" s="29" t="str">
        <f t="shared" si="49"/>
        <v/>
      </c>
      <c r="DL42" s="29" t="str">
        <f t="shared" si="49"/>
        <v/>
      </c>
      <c r="DM42" s="29" t="str">
        <f t="shared" si="49"/>
        <v/>
      </c>
      <c r="DN42" s="29" t="str">
        <f t="shared" si="49"/>
        <v/>
      </c>
      <c r="DO42" s="29" t="str">
        <f t="shared" si="49"/>
        <v/>
      </c>
      <c r="DP42" s="29" t="str">
        <f t="shared" si="49"/>
        <v/>
      </c>
      <c r="DQ42" s="29" t="str">
        <f t="shared" si="49"/>
        <v/>
      </c>
      <c r="DR42" s="29" t="str">
        <f t="shared" si="49"/>
        <v/>
      </c>
      <c r="DS42" s="29" t="str">
        <f t="shared" si="49"/>
        <v/>
      </c>
      <c r="DT42" s="29" t="str">
        <f t="shared" si="49"/>
        <v/>
      </c>
      <c r="DU42" s="29" t="str">
        <f t="shared" si="49"/>
        <v/>
      </c>
      <c r="DV42" s="29" t="str">
        <f t="shared" si="49"/>
        <v/>
      </c>
      <c r="DW42" s="29" t="str">
        <f t="shared" si="49"/>
        <v/>
      </c>
      <c r="DX42" s="29" t="str">
        <f t="shared" si="49"/>
        <v/>
      </c>
      <c r="DY42" s="29" t="str">
        <f t="shared" si="49"/>
        <v/>
      </c>
      <c r="DZ42" s="29" t="str">
        <f t="shared" si="34"/>
        <v/>
      </c>
      <c r="EA42" s="29" t="str">
        <f t="shared" si="48"/>
        <v/>
      </c>
      <c r="EB42" s="29" t="str">
        <f t="shared" si="48"/>
        <v/>
      </c>
      <c r="EC42" s="29" t="str">
        <f t="shared" si="48"/>
        <v/>
      </c>
      <c r="ED42" s="29" t="str">
        <f t="shared" si="48"/>
        <v/>
      </c>
      <c r="EE42" s="29" t="str">
        <f t="shared" si="48"/>
        <v/>
      </c>
      <c r="EF42" s="29" t="str">
        <f t="shared" si="48"/>
        <v/>
      </c>
      <c r="EG42" s="29" t="str">
        <f t="shared" si="48"/>
        <v/>
      </c>
      <c r="EH42" s="29" t="str">
        <f t="shared" si="48"/>
        <v/>
      </c>
      <c r="EI42" s="29" t="str">
        <f t="shared" si="48"/>
        <v/>
      </c>
      <c r="EJ42" s="29" t="str">
        <f t="shared" si="48"/>
        <v/>
      </c>
      <c r="EK42" s="29" t="str">
        <f t="shared" si="48"/>
        <v/>
      </c>
      <c r="EL42" s="29" t="str">
        <f t="shared" si="48"/>
        <v/>
      </c>
      <c r="EM42" s="29" t="str">
        <f t="shared" si="48"/>
        <v/>
      </c>
      <c r="EN42" s="29" t="str">
        <f t="shared" si="48"/>
        <v/>
      </c>
      <c r="EO42" s="29" t="str">
        <f t="shared" si="48"/>
        <v/>
      </c>
      <c r="EP42" s="29" t="str">
        <f t="shared" si="48"/>
        <v/>
      </c>
      <c r="EQ42" s="29" t="str">
        <f t="shared" si="48"/>
        <v/>
      </c>
      <c r="ER42" s="29" t="str">
        <f t="shared" si="48"/>
        <v/>
      </c>
      <c r="ES42" s="29" t="str">
        <f t="shared" si="48"/>
        <v/>
      </c>
      <c r="ET42" s="29" t="str">
        <f t="shared" si="48"/>
        <v/>
      </c>
      <c r="EU42" s="29" t="str">
        <f t="shared" si="48"/>
        <v/>
      </c>
      <c r="EV42" s="29" t="str">
        <f t="shared" si="48"/>
        <v/>
      </c>
      <c r="EW42" s="29" t="str">
        <f t="shared" si="48"/>
        <v/>
      </c>
      <c r="EX42" s="29" t="str">
        <f t="shared" si="48"/>
        <v/>
      </c>
      <c r="EY42" s="29" t="str">
        <f t="shared" si="48"/>
        <v/>
      </c>
      <c r="EZ42" s="29" t="str">
        <f t="shared" si="48"/>
        <v/>
      </c>
      <c r="FA42" s="29" t="str">
        <f t="shared" si="48"/>
        <v/>
      </c>
      <c r="FB42" s="29" t="str">
        <f t="shared" si="48"/>
        <v/>
      </c>
      <c r="FC42" s="29" t="str">
        <f t="shared" si="48"/>
        <v/>
      </c>
      <c r="FD42" s="29" t="str">
        <f t="shared" si="48"/>
        <v/>
      </c>
      <c r="FE42" s="29" t="str">
        <f t="shared" si="48"/>
        <v/>
      </c>
      <c r="FF42" s="29" t="str">
        <f t="shared" si="48"/>
        <v/>
      </c>
      <c r="FG42" s="29" t="str">
        <f t="shared" si="48"/>
        <v/>
      </c>
      <c r="FH42" s="29" t="str">
        <f t="shared" si="48"/>
        <v/>
      </c>
      <c r="FI42" s="29" t="str">
        <f t="shared" si="48"/>
        <v/>
      </c>
      <c r="FJ42" s="29" t="str">
        <f t="shared" si="48"/>
        <v/>
      </c>
      <c r="FK42" s="29" t="str">
        <f t="shared" si="48"/>
        <v/>
      </c>
      <c r="FL42" s="29" t="str">
        <f t="shared" si="48"/>
        <v/>
      </c>
      <c r="FM42" s="29" t="str">
        <f t="shared" si="48"/>
        <v/>
      </c>
      <c r="FN42" s="29" t="str">
        <f t="shared" si="48"/>
        <v/>
      </c>
      <c r="FO42" s="29" t="str">
        <f t="shared" si="48"/>
        <v/>
      </c>
      <c r="FP42" s="29" t="str">
        <f t="shared" si="48"/>
        <v/>
      </c>
      <c r="FQ42" s="29" t="str">
        <f t="shared" si="48"/>
        <v/>
      </c>
      <c r="FR42" s="29" t="str">
        <f t="shared" si="48"/>
        <v/>
      </c>
      <c r="FS42" s="29" t="str">
        <f t="shared" si="48"/>
        <v/>
      </c>
      <c r="FT42" s="29" t="str">
        <f t="shared" si="48"/>
        <v/>
      </c>
      <c r="FU42" s="29" t="str">
        <f t="shared" si="48"/>
        <v/>
      </c>
      <c r="FV42" s="29" t="str">
        <f t="shared" si="48"/>
        <v/>
      </c>
      <c r="FW42" s="29" t="str">
        <f t="shared" si="48"/>
        <v/>
      </c>
      <c r="FX42" s="29" t="str">
        <f t="shared" si="48"/>
        <v/>
      </c>
      <c r="FY42" s="29" t="str">
        <f t="shared" si="48"/>
        <v/>
      </c>
      <c r="FZ42" s="29" t="str">
        <f t="shared" si="48"/>
        <v/>
      </c>
      <c r="GA42" s="29" t="str">
        <f t="shared" si="48"/>
        <v/>
      </c>
      <c r="GB42" s="29" t="str">
        <f t="shared" si="48"/>
        <v/>
      </c>
      <c r="GC42" s="29" t="str">
        <f t="shared" si="48"/>
        <v/>
      </c>
      <c r="GD42" s="29" t="str">
        <f t="shared" si="48"/>
        <v/>
      </c>
      <c r="GE42" s="29" t="str">
        <f t="shared" si="48"/>
        <v/>
      </c>
      <c r="GF42" s="29" t="str">
        <f t="shared" si="48"/>
        <v/>
      </c>
      <c r="GG42" s="29" t="str">
        <f t="shared" si="48"/>
        <v/>
      </c>
      <c r="GH42" s="29" t="str">
        <f t="shared" si="48"/>
        <v/>
      </c>
      <c r="GI42" s="29" t="str">
        <f t="shared" si="48"/>
        <v/>
      </c>
      <c r="GJ42" s="29" t="str">
        <f t="shared" si="48"/>
        <v/>
      </c>
      <c r="GK42" s="29" t="str">
        <f t="shared" si="48"/>
        <v/>
      </c>
      <c r="GL42" s="29" t="str">
        <f t="shared" si="48"/>
        <v/>
      </c>
      <c r="GM42" s="29" t="str">
        <f t="shared" si="47"/>
        <v/>
      </c>
      <c r="GN42" s="29" t="str">
        <f t="shared" si="47"/>
        <v/>
      </c>
      <c r="GO42" s="29" t="str">
        <f t="shared" si="47"/>
        <v/>
      </c>
      <c r="GP42" s="29" t="str">
        <f t="shared" si="47"/>
        <v/>
      </c>
      <c r="GQ42" s="29" t="str">
        <f t="shared" si="47"/>
        <v/>
      </c>
      <c r="GR42" s="29" t="str">
        <f t="shared" si="47"/>
        <v/>
      </c>
      <c r="GS42" s="29" t="str">
        <f t="shared" si="47"/>
        <v/>
      </c>
      <c r="GT42" s="29" t="str">
        <f t="shared" si="47"/>
        <v/>
      </c>
      <c r="GU42" s="29" t="str">
        <f t="shared" si="47"/>
        <v/>
      </c>
      <c r="GV42" s="29" t="str">
        <f t="shared" si="47"/>
        <v/>
      </c>
      <c r="GW42" s="29" t="str">
        <f t="shared" si="47"/>
        <v/>
      </c>
      <c r="GX42" s="29" t="str">
        <f t="shared" si="47"/>
        <v/>
      </c>
      <c r="GY42" s="29" t="str">
        <f t="shared" si="47"/>
        <v/>
      </c>
      <c r="GZ42" s="29" t="str">
        <f t="shared" si="47"/>
        <v/>
      </c>
      <c r="HA42" s="29" t="str">
        <f t="shared" si="47"/>
        <v/>
      </c>
      <c r="HB42" s="29" t="str">
        <f t="shared" si="47"/>
        <v/>
      </c>
      <c r="HC42" s="29" t="str">
        <f t="shared" si="47"/>
        <v/>
      </c>
      <c r="HD42" s="29" t="str">
        <f t="shared" si="47"/>
        <v/>
      </c>
      <c r="HE42" s="29" t="str">
        <f t="shared" si="47"/>
        <v/>
      </c>
      <c r="HF42" s="29" t="str">
        <f t="shared" si="47"/>
        <v/>
      </c>
      <c r="HG42" s="29" t="str">
        <f t="shared" si="47"/>
        <v/>
      </c>
      <c r="HH42" s="29" t="str">
        <f t="shared" si="47"/>
        <v/>
      </c>
      <c r="HI42" s="29" t="str">
        <f t="shared" si="47"/>
        <v/>
      </c>
      <c r="HJ42" s="29" t="str">
        <f t="shared" si="47"/>
        <v/>
      </c>
      <c r="HK42" s="29" t="str">
        <f t="shared" si="47"/>
        <v/>
      </c>
      <c r="HL42" s="29" t="str">
        <f t="shared" si="47"/>
        <v/>
      </c>
      <c r="HM42" s="29" t="str">
        <f t="shared" si="47"/>
        <v/>
      </c>
      <c r="HN42" s="29" t="str">
        <f t="shared" si="47"/>
        <v/>
      </c>
      <c r="HO42" s="29" t="str">
        <f t="shared" si="47"/>
        <v/>
      </c>
      <c r="HP42" s="29" t="str">
        <f t="shared" si="47"/>
        <v/>
      </c>
      <c r="HQ42" s="29" t="str">
        <f t="shared" si="47"/>
        <v/>
      </c>
      <c r="HR42" s="29" t="str">
        <f t="shared" si="47"/>
        <v/>
      </c>
      <c r="HS42" s="29" t="str">
        <f t="shared" si="47"/>
        <v/>
      </c>
      <c r="HT42" s="29" t="str">
        <f t="shared" si="47"/>
        <v/>
      </c>
      <c r="HU42" s="29" t="str">
        <f t="shared" si="47"/>
        <v/>
      </c>
      <c r="HV42" s="29" t="str">
        <f t="shared" si="47"/>
        <v/>
      </c>
      <c r="HW42" s="29" t="str">
        <f t="shared" si="47"/>
        <v/>
      </c>
      <c r="HX42" s="29" t="str">
        <f t="shared" si="47"/>
        <v/>
      </c>
      <c r="HY42" s="29" t="str">
        <f t="shared" si="47"/>
        <v/>
      </c>
      <c r="HZ42" s="29" t="str">
        <f t="shared" si="47"/>
        <v/>
      </c>
      <c r="IA42" s="29" t="str">
        <f t="shared" si="47"/>
        <v/>
      </c>
      <c r="IB42" s="29" t="str">
        <f t="shared" si="47"/>
        <v/>
      </c>
      <c r="IC42" s="29" t="str">
        <f t="shared" si="47"/>
        <v/>
      </c>
      <c r="ID42" s="29" t="str">
        <f t="shared" si="47"/>
        <v/>
      </c>
      <c r="IE42" s="29" t="str">
        <f t="shared" si="47"/>
        <v/>
      </c>
      <c r="IF42" s="29" t="str">
        <f t="shared" si="47"/>
        <v/>
      </c>
      <c r="IG42" s="29" t="str">
        <f t="shared" si="47"/>
        <v/>
      </c>
      <c r="IH42" s="29" t="str">
        <f t="shared" si="47"/>
        <v/>
      </c>
      <c r="II42" s="29" t="str">
        <f t="shared" si="47"/>
        <v/>
      </c>
      <c r="IJ42" s="29" t="str">
        <f t="shared" si="47"/>
        <v/>
      </c>
      <c r="IK42" s="29" t="str">
        <f t="shared" si="47"/>
        <v/>
      </c>
      <c r="IL42" s="29" t="str">
        <f t="shared" si="47"/>
        <v/>
      </c>
      <c r="IM42" s="29" t="str">
        <f t="shared" si="47"/>
        <v/>
      </c>
      <c r="IN42" s="29" t="str">
        <f t="shared" si="47"/>
        <v/>
      </c>
      <c r="IO42" s="29" t="str">
        <f t="shared" si="47"/>
        <v/>
      </c>
      <c r="IP42" s="29" t="str">
        <f t="shared" si="47"/>
        <v/>
      </c>
      <c r="IQ42" s="29" t="str">
        <f t="shared" si="47"/>
        <v/>
      </c>
      <c r="IR42" s="29" t="str">
        <f t="shared" si="47"/>
        <v/>
      </c>
      <c r="IS42" s="29" t="str">
        <f t="shared" si="47"/>
        <v/>
      </c>
      <c r="IT42" s="29" t="str">
        <f t="shared" si="47"/>
        <v/>
      </c>
      <c r="IU42" s="29" t="str">
        <f t="shared" si="47"/>
        <v/>
      </c>
      <c r="IV42" s="29" t="str">
        <f t="shared" si="47"/>
        <v/>
      </c>
      <c r="IW42" s="29" t="str">
        <f t="shared" si="47"/>
        <v/>
      </c>
      <c r="IX42" s="29" t="str">
        <f t="shared" si="44"/>
        <v/>
      </c>
      <c r="IY42" s="29" t="str">
        <f t="shared" si="44"/>
        <v/>
      </c>
      <c r="IZ42" s="29" t="str">
        <f t="shared" si="44"/>
        <v/>
      </c>
      <c r="JA42" s="29" t="str">
        <f t="shared" si="41"/>
        <v/>
      </c>
      <c r="JB42" s="29" t="str">
        <f t="shared" si="45"/>
        <v/>
      </c>
      <c r="JC42" s="29" t="str">
        <f t="shared" si="45"/>
        <v/>
      </c>
      <c r="JD42" s="29" t="str">
        <f t="shared" si="45"/>
        <v/>
      </c>
      <c r="JE42" s="29" t="str">
        <f t="shared" si="45"/>
        <v/>
      </c>
      <c r="JF42" s="29" t="str">
        <f t="shared" si="45"/>
        <v/>
      </c>
      <c r="JG42" s="29" t="str">
        <f t="shared" si="45"/>
        <v/>
      </c>
      <c r="JH42" s="29" t="str">
        <f t="shared" si="45"/>
        <v/>
      </c>
      <c r="JI42" s="29" t="str">
        <f t="shared" si="45"/>
        <v/>
      </c>
      <c r="JJ42" s="29" t="str">
        <f t="shared" si="45"/>
        <v/>
      </c>
      <c r="JK42" s="29" t="str">
        <f t="shared" si="45"/>
        <v/>
      </c>
      <c r="JL42" s="29" t="str">
        <f t="shared" si="45"/>
        <v/>
      </c>
      <c r="JM42" s="29" t="str">
        <f t="shared" si="45"/>
        <v/>
      </c>
      <c r="JN42" s="29" t="str">
        <f t="shared" si="45"/>
        <v/>
      </c>
      <c r="JO42" s="29" t="str">
        <f t="shared" si="45"/>
        <v/>
      </c>
      <c r="JP42" s="29" t="str">
        <f t="shared" si="45"/>
        <v/>
      </c>
      <c r="JQ42" s="29" t="str">
        <f t="shared" si="45"/>
        <v/>
      </c>
      <c r="JR42" s="29" t="str">
        <f t="shared" si="45"/>
        <v/>
      </c>
      <c r="JS42" s="29" t="str">
        <f t="shared" si="45"/>
        <v/>
      </c>
      <c r="JT42" s="29" t="str">
        <f t="shared" si="45"/>
        <v/>
      </c>
      <c r="JU42" s="29" t="str">
        <f t="shared" si="45"/>
        <v/>
      </c>
      <c r="JV42" s="29" t="str">
        <f t="shared" si="45"/>
        <v/>
      </c>
      <c r="JW42" s="29" t="str">
        <f t="shared" si="45"/>
        <v/>
      </c>
      <c r="JX42" s="29" t="str">
        <f t="shared" si="45"/>
        <v/>
      </c>
      <c r="JY42" s="29" t="str">
        <f t="shared" si="45"/>
        <v/>
      </c>
      <c r="JZ42" s="29" t="str">
        <f t="shared" si="45"/>
        <v/>
      </c>
      <c r="KA42" s="29" t="str">
        <f t="shared" si="45"/>
        <v/>
      </c>
      <c r="KB42" s="29" t="str">
        <f t="shared" si="45"/>
        <v/>
      </c>
      <c r="KC42" s="29" t="str">
        <f t="shared" si="45"/>
        <v/>
      </c>
      <c r="KD42" s="29" t="str">
        <f t="shared" si="45"/>
        <v/>
      </c>
      <c r="KE42" s="29" t="str">
        <f t="shared" si="45"/>
        <v/>
      </c>
      <c r="KF42" s="29" t="str">
        <f t="shared" si="45"/>
        <v/>
      </c>
      <c r="KG42" s="29" t="str">
        <f t="shared" si="45"/>
        <v/>
      </c>
      <c r="KH42" s="29" t="str">
        <f t="shared" si="45"/>
        <v/>
      </c>
      <c r="KI42" s="29" t="str">
        <f t="shared" si="45"/>
        <v/>
      </c>
      <c r="KJ42" s="29" t="str">
        <f t="shared" si="45"/>
        <v/>
      </c>
      <c r="KK42" s="29" t="str">
        <f t="shared" si="45"/>
        <v/>
      </c>
      <c r="KL42" s="29" t="str">
        <f t="shared" si="45"/>
        <v/>
      </c>
      <c r="KM42" s="29" t="str">
        <f t="shared" si="45"/>
        <v/>
      </c>
      <c r="KN42" s="29" t="str">
        <f t="shared" si="45"/>
        <v/>
      </c>
      <c r="KO42" s="29" t="str">
        <f t="shared" si="45"/>
        <v/>
      </c>
      <c r="KP42" s="29" t="str">
        <f t="shared" si="45"/>
        <v/>
      </c>
    </row>
    <row r="43" spans="1:302" customFormat="1" hidden="1" outlineLevel="1" x14ac:dyDescent="0.2">
      <c r="A43" s="33">
        <v>0.16</v>
      </c>
      <c r="B43" s="29" t="str">
        <f t="shared" si="30"/>
        <v/>
      </c>
      <c r="C43" s="29" t="str">
        <f t="shared" ref="C43:BN43" si="50">IFERROR(C$27*(1+$A43)^-C$6,"")</f>
        <v/>
      </c>
      <c r="D43" s="29" t="str">
        <f t="shared" si="50"/>
        <v/>
      </c>
      <c r="E43" s="29" t="str">
        <f t="shared" si="50"/>
        <v/>
      </c>
      <c r="F43" s="29" t="str">
        <f t="shared" si="50"/>
        <v/>
      </c>
      <c r="G43" s="29" t="str">
        <f t="shared" si="50"/>
        <v/>
      </c>
      <c r="H43" s="29" t="str">
        <f t="shared" si="50"/>
        <v/>
      </c>
      <c r="I43" s="29" t="str">
        <f t="shared" si="50"/>
        <v/>
      </c>
      <c r="J43" s="29" t="str">
        <f t="shared" si="50"/>
        <v/>
      </c>
      <c r="K43" s="29" t="str">
        <f t="shared" si="50"/>
        <v/>
      </c>
      <c r="L43" s="29" t="str">
        <f t="shared" si="50"/>
        <v/>
      </c>
      <c r="M43" s="29" t="str">
        <f t="shared" si="50"/>
        <v/>
      </c>
      <c r="N43" s="29" t="str">
        <f t="shared" si="50"/>
        <v/>
      </c>
      <c r="O43" s="29" t="str">
        <f t="shared" si="50"/>
        <v/>
      </c>
      <c r="P43" s="29" t="str">
        <f t="shared" si="50"/>
        <v/>
      </c>
      <c r="Q43" s="29" t="str">
        <f t="shared" si="50"/>
        <v/>
      </c>
      <c r="R43" s="29" t="str">
        <f t="shared" si="50"/>
        <v/>
      </c>
      <c r="S43" s="29" t="str">
        <f t="shared" si="50"/>
        <v/>
      </c>
      <c r="T43" s="29" t="str">
        <f t="shared" si="50"/>
        <v/>
      </c>
      <c r="U43" s="29" t="str">
        <f t="shared" si="50"/>
        <v/>
      </c>
      <c r="V43" s="29" t="str">
        <f t="shared" si="50"/>
        <v/>
      </c>
      <c r="W43" s="29" t="str">
        <f t="shared" si="50"/>
        <v/>
      </c>
      <c r="X43" s="29" t="str">
        <f t="shared" si="50"/>
        <v/>
      </c>
      <c r="Y43" s="29" t="str">
        <f t="shared" si="50"/>
        <v/>
      </c>
      <c r="Z43" s="29" t="str">
        <f t="shared" si="50"/>
        <v/>
      </c>
      <c r="AA43" s="29" t="str">
        <f t="shared" si="50"/>
        <v/>
      </c>
      <c r="AB43" s="29" t="str">
        <f t="shared" si="50"/>
        <v/>
      </c>
      <c r="AC43" s="29" t="str">
        <f t="shared" si="50"/>
        <v/>
      </c>
      <c r="AD43" s="29" t="str">
        <f t="shared" si="50"/>
        <v/>
      </c>
      <c r="AE43" s="29" t="str">
        <f t="shared" si="50"/>
        <v/>
      </c>
      <c r="AF43" s="29" t="str">
        <f t="shared" si="50"/>
        <v/>
      </c>
      <c r="AG43" s="29" t="str">
        <f t="shared" si="50"/>
        <v/>
      </c>
      <c r="AH43" s="29" t="str">
        <f t="shared" si="50"/>
        <v/>
      </c>
      <c r="AI43" s="29" t="str">
        <f t="shared" si="50"/>
        <v/>
      </c>
      <c r="AJ43" s="29" t="str">
        <f t="shared" si="50"/>
        <v/>
      </c>
      <c r="AK43" s="29" t="str">
        <f t="shared" si="50"/>
        <v/>
      </c>
      <c r="AL43" s="29" t="str">
        <f t="shared" si="50"/>
        <v/>
      </c>
      <c r="AM43" s="29" t="str">
        <f t="shared" si="50"/>
        <v/>
      </c>
      <c r="AN43" s="29" t="str">
        <f t="shared" si="50"/>
        <v/>
      </c>
      <c r="AO43" s="29" t="str">
        <f t="shared" si="50"/>
        <v/>
      </c>
      <c r="AP43" s="29" t="str">
        <f t="shared" si="50"/>
        <v/>
      </c>
      <c r="AQ43" s="29" t="str">
        <f t="shared" si="50"/>
        <v/>
      </c>
      <c r="AR43" s="29" t="str">
        <f t="shared" si="50"/>
        <v/>
      </c>
      <c r="AS43" s="29" t="str">
        <f t="shared" si="50"/>
        <v/>
      </c>
      <c r="AT43" s="29" t="str">
        <f t="shared" si="50"/>
        <v/>
      </c>
      <c r="AU43" s="29" t="str">
        <f t="shared" si="50"/>
        <v/>
      </c>
      <c r="AV43" s="29" t="str">
        <f t="shared" si="50"/>
        <v/>
      </c>
      <c r="AW43" s="29" t="str">
        <f t="shared" si="50"/>
        <v/>
      </c>
      <c r="AX43" s="29" t="str">
        <f t="shared" si="50"/>
        <v/>
      </c>
      <c r="AY43" s="29" t="str">
        <f t="shared" si="50"/>
        <v/>
      </c>
      <c r="AZ43" s="29" t="str">
        <f t="shared" si="50"/>
        <v/>
      </c>
      <c r="BA43" s="29" t="str">
        <f t="shared" si="50"/>
        <v/>
      </c>
      <c r="BB43" s="29" t="str">
        <f t="shared" si="50"/>
        <v/>
      </c>
      <c r="BC43" s="29" t="str">
        <f t="shared" si="50"/>
        <v/>
      </c>
      <c r="BD43" s="29" t="str">
        <f t="shared" si="50"/>
        <v/>
      </c>
      <c r="BE43" s="29" t="str">
        <f t="shared" si="50"/>
        <v/>
      </c>
      <c r="BF43" s="29" t="str">
        <f t="shared" si="50"/>
        <v/>
      </c>
      <c r="BG43" s="29" t="str">
        <f t="shared" si="50"/>
        <v/>
      </c>
      <c r="BH43" s="29" t="str">
        <f t="shared" si="50"/>
        <v/>
      </c>
      <c r="BI43" s="29" t="str">
        <f t="shared" si="50"/>
        <v/>
      </c>
      <c r="BJ43" s="29" t="str">
        <f t="shared" si="50"/>
        <v/>
      </c>
      <c r="BK43" s="29" t="str">
        <f t="shared" si="50"/>
        <v/>
      </c>
      <c r="BL43" s="29" t="str">
        <f t="shared" si="50"/>
        <v/>
      </c>
      <c r="BM43" s="29" t="str">
        <f t="shared" si="50"/>
        <v/>
      </c>
      <c r="BN43" s="29" t="str">
        <f t="shared" si="50"/>
        <v/>
      </c>
      <c r="BO43" s="29" t="str">
        <f t="shared" si="49"/>
        <v/>
      </c>
      <c r="BP43" s="29" t="str">
        <f t="shared" si="49"/>
        <v/>
      </c>
      <c r="BQ43" s="29" t="str">
        <f t="shared" si="49"/>
        <v/>
      </c>
      <c r="BR43" s="29" t="str">
        <f t="shared" si="49"/>
        <v/>
      </c>
      <c r="BS43" s="29" t="str">
        <f t="shared" si="49"/>
        <v/>
      </c>
      <c r="BT43" s="29" t="str">
        <f t="shared" si="49"/>
        <v/>
      </c>
      <c r="BU43" s="29" t="str">
        <f t="shared" si="49"/>
        <v/>
      </c>
      <c r="BV43" s="29" t="str">
        <f t="shared" si="49"/>
        <v/>
      </c>
      <c r="BW43" s="29" t="str">
        <f t="shared" si="49"/>
        <v/>
      </c>
      <c r="BX43" s="29" t="str">
        <f t="shared" si="49"/>
        <v/>
      </c>
      <c r="BY43" s="29" t="str">
        <f t="shared" si="49"/>
        <v/>
      </c>
      <c r="BZ43" s="29" t="str">
        <f t="shared" si="49"/>
        <v/>
      </c>
      <c r="CA43" s="29" t="str">
        <f t="shared" si="49"/>
        <v/>
      </c>
      <c r="CB43" s="29" t="str">
        <f t="shared" si="49"/>
        <v/>
      </c>
      <c r="CC43" s="29" t="str">
        <f t="shared" si="49"/>
        <v/>
      </c>
      <c r="CD43" s="29" t="str">
        <f t="shared" si="49"/>
        <v/>
      </c>
      <c r="CE43" s="29" t="str">
        <f t="shared" si="49"/>
        <v/>
      </c>
      <c r="CF43" s="29" t="str">
        <f t="shared" si="49"/>
        <v/>
      </c>
      <c r="CG43" s="29" t="str">
        <f t="shared" si="49"/>
        <v/>
      </c>
      <c r="CH43" s="29" t="str">
        <f t="shared" si="49"/>
        <v/>
      </c>
      <c r="CI43" s="29" t="str">
        <f t="shared" si="49"/>
        <v/>
      </c>
      <c r="CJ43" s="29" t="str">
        <f t="shared" si="49"/>
        <v/>
      </c>
      <c r="CK43" s="29" t="str">
        <f t="shared" si="49"/>
        <v/>
      </c>
      <c r="CL43" s="29" t="str">
        <f t="shared" si="49"/>
        <v/>
      </c>
      <c r="CM43" s="29" t="str">
        <f t="shared" si="49"/>
        <v/>
      </c>
      <c r="CN43" s="29" t="str">
        <f t="shared" si="49"/>
        <v/>
      </c>
      <c r="CO43" s="29" t="str">
        <f t="shared" si="49"/>
        <v/>
      </c>
      <c r="CP43" s="29" t="str">
        <f t="shared" si="49"/>
        <v/>
      </c>
      <c r="CQ43" s="29" t="str">
        <f t="shared" si="49"/>
        <v/>
      </c>
      <c r="CR43" s="29" t="str">
        <f t="shared" si="49"/>
        <v/>
      </c>
      <c r="CS43" s="29" t="str">
        <f t="shared" si="49"/>
        <v/>
      </c>
      <c r="CT43" s="29" t="str">
        <f t="shared" si="49"/>
        <v/>
      </c>
      <c r="CU43" s="29" t="str">
        <f t="shared" si="49"/>
        <v/>
      </c>
      <c r="CV43" s="29" t="str">
        <f t="shared" si="49"/>
        <v/>
      </c>
      <c r="CW43" s="29" t="str">
        <f t="shared" si="49"/>
        <v/>
      </c>
      <c r="CX43" s="29" t="str">
        <f t="shared" si="49"/>
        <v/>
      </c>
      <c r="CY43" s="29" t="str">
        <f t="shared" si="49"/>
        <v/>
      </c>
      <c r="CZ43" s="29" t="str">
        <f t="shared" si="49"/>
        <v/>
      </c>
      <c r="DA43" s="29" t="str">
        <f t="shared" si="49"/>
        <v/>
      </c>
      <c r="DB43" s="29" t="str">
        <f t="shared" si="49"/>
        <v/>
      </c>
      <c r="DC43" s="29" t="str">
        <f t="shared" si="49"/>
        <v/>
      </c>
      <c r="DD43" s="29" t="str">
        <f t="shared" si="49"/>
        <v/>
      </c>
      <c r="DE43" s="29" t="str">
        <f t="shared" si="49"/>
        <v/>
      </c>
      <c r="DF43" s="29" t="str">
        <f t="shared" si="49"/>
        <v/>
      </c>
      <c r="DG43" s="29" t="str">
        <f t="shared" si="49"/>
        <v/>
      </c>
      <c r="DH43" s="29" t="str">
        <f t="shared" si="49"/>
        <v/>
      </c>
      <c r="DI43" s="29" t="str">
        <f t="shared" si="49"/>
        <v/>
      </c>
      <c r="DJ43" s="29" t="str">
        <f t="shared" si="49"/>
        <v/>
      </c>
      <c r="DK43" s="29" t="str">
        <f t="shared" si="49"/>
        <v/>
      </c>
      <c r="DL43" s="29" t="str">
        <f t="shared" si="49"/>
        <v/>
      </c>
      <c r="DM43" s="29" t="str">
        <f t="shared" si="49"/>
        <v/>
      </c>
      <c r="DN43" s="29" t="str">
        <f t="shared" si="49"/>
        <v/>
      </c>
      <c r="DO43" s="29" t="str">
        <f t="shared" si="49"/>
        <v/>
      </c>
      <c r="DP43" s="29" t="str">
        <f t="shared" si="49"/>
        <v/>
      </c>
      <c r="DQ43" s="29" t="str">
        <f t="shared" si="49"/>
        <v/>
      </c>
      <c r="DR43" s="29" t="str">
        <f t="shared" si="49"/>
        <v/>
      </c>
      <c r="DS43" s="29" t="str">
        <f t="shared" si="49"/>
        <v/>
      </c>
      <c r="DT43" s="29" t="str">
        <f t="shared" si="49"/>
        <v/>
      </c>
      <c r="DU43" s="29" t="str">
        <f t="shared" si="49"/>
        <v/>
      </c>
      <c r="DV43" s="29" t="str">
        <f t="shared" si="49"/>
        <v/>
      </c>
      <c r="DW43" s="29" t="str">
        <f t="shared" si="49"/>
        <v/>
      </c>
      <c r="DX43" s="29" t="str">
        <f t="shared" si="49"/>
        <v/>
      </c>
      <c r="DY43" s="29" t="str">
        <f t="shared" si="49"/>
        <v/>
      </c>
      <c r="DZ43" s="29" t="str">
        <f t="shared" si="34"/>
        <v/>
      </c>
      <c r="EA43" s="29" t="str">
        <f t="shared" si="48"/>
        <v/>
      </c>
      <c r="EB43" s="29" t="str">
        <f t="shared" si="48"/>
        <v/>
      </c>
      <c r="EC43" s="29" t="str">
        <f t="shared" si="48"/>
        <v/>
      </c>
      <c r="ED43" s="29" t="str">
        <f t="shared" si="48"/>
        <v/>
      </c>
      <c r="EE43" s="29" t="str">
        <f t="shared" si="48"/>
        <v/>
      </c>
      <c r="EF43" s="29" t="str">
        <f t="shared" si="48"/>
        <v/>
      </c>
      <c r="EG43" s="29" t="str">
        <f t="shared" si="48"/>
        <v/>
      </c>
      <c r="EH43" s="29" t="str">
        <f t="shared" si="48"/>
        <v/>
      </c>
      <c r="EI43" s="29" t="str">
        <f t="shared" si="48"/>
        <v/>
      </c>
      <c r="EJ43" s="29" t="str">
        <f t="shared" si="48"/>
        <v/>
      </c>
      <c r="EK43" s="29" t="str">
        <f t="shared" si="48"/>
        <v/>
      </c>
      <c r="EL43" s="29" t="str">
        <f t="shared" si="48"/>
        <v/>
      </c>
      <c r="EM43" s="29" t="str">
        <f t="shared" si="48"/>
        <v/>
      </c>
      <c r="EN43" s="29" t="str">
        <f t="shared" si="48"/>
        <v/>
      </c>
      <c r="EO43" s="29" t="str">
        <f t="shared" si="48"/>
        <v/>
      </c>
      <c r="EP43" s="29" t="str">
        <f t="shared" si="48"/>
        <v/>
      </c>
      <c r="EQ43" s="29" t="str">
        <f t="shared" si="48"/>
        <v/>
      </c>
      <c r="ER43" s="29" t="str">
        <f t="shared" si="48"/>
        <v/>
      </c>
      <c r="ES43" s="29" t="str">
        <f t="shared" si="48"/>
        <v/>
      </c>
      <c r="ET43" s="29" t="str">
        <f t="shared" si="48"/>
        <v/>
      </c>
      <c r="EU43" s="29" t="str">
        <f t="shared" si="48"/>
        <v/>
      </c>
      <c r="EV43" s="29" t="str">
        <f t="shared" si="48"/>
        <v/>
      </c>
      <c r="EW43" s="29" t="str">
        <f t="shared" si="48"/>
        <v/>
      </c>
      <c r="EX43" s="29" t="str">
        <f t="shared" si="48"/>
        <v/>
      </c>
      <c r="EY43" s="29" t="str">
        <f t="shared" si="48"/>
        <v/>
      </c>
      <c r="EZ43" s="29" t="str">
        <f t="shared" si="48"/>
        <v/>
      </c>
      <c r="FA43" s="29" t="str">
        <f t="shared" si="48"/>
        <v/>
      </c>
      <c r="FB43" s="29" t="str">
        <f t="shared" si="48"/>
        <v/>
      </c>
      <c r="FC43" s="29" t="str">
        <f t="shared" si="48"/>
        <v/>
      </c>
      <c r="FD43" s="29" t="str">
        <f t="shared" si="48"/>
        <v/>
      </c>
      <c r="FE43" s="29" t="str">
        <f t="shared" si="48"/>
        <v/>
      </c>
      <c r="FF43" s="29" t="str">
        <f t="shared" si="48"/>
        <v/>
      </c>
      <c r="FG43" s="29" t="str">
        <f t="shared" si="48"/>
        <v/>
      </c>
      <c r="FH43" s="29" t="str">
        <f t="shared" si="48"/>
        <v/>
      </c>
      <c r="FI43" s="29" t="str">
        <f t="shared" si="48"/>
        <v/>
      </c>
      <c r="FJ43" s="29" t="str">
        <f t="shared" si="48"/>
        <v/>
      </c>
      <c r="FK43" s="29" t="str">
        <f t="shared" si="48"/>
        <v/>
      </c>
      <c r="FL43" s="29" t="str">
        <f t="shared" si="48"/>
        <v/>
      </c>
      <c r="FM43" s="29" t="str">
        <f t="shared" si="48"/>
        <v/>
      </c>
      <c r="FN43" s="29" t="str">
        <f t="shared" si="48"/>
        <v/>
      </c>
      <c r="FO43" s="29" t="str">
        <f t="shared" si="48"/>
        <v/>
      </c>
      <c r="FP43" s="29" t="str">
        <f t="shared" si="48"/>
        <v/>
      </c>
      <c r="FQ43" s="29" t="str">
        <f t="shared" si="48"/>
        <v/>
      </c>
      <c r="FR43" s="29" t="str">
        <f t="shared" si="48"/>
        <v/>
      </c>
      <c r="FS43" s="29" t="str">
        <f t="shared" si="48"/>
        <v/>
      </c>
      <c r="FT43" s="29" t="str">
        <f t="shared" si="48"/>
        <v/>
      </c>
      <c r="FU43" s="29" t="str">
        <f t="shared" si="48"/>
        <v/>
      </c>
      <c r="FV43" s="29" t="str">
        <f t="shared" si="48"/>
        <v/>
      </c>
      <c r="FW43" s="29" t="str">
        <f t="shared" si="48"/>
        <v/>
      </c>
      <c r="FX43" s="29" t="str">
        <f t="shared" si="48"/>
        <v/>
      </c>
      <c r="FY43" s="29" t="str">
        <f t="shared" si="48"/>
        <v/>
      </c>
      <c r="FZ43" s="29" t="str">
        <f t="shared" si="48"/>
        <v/>
      </c>
      <c r="GA43" s="29" t="str">
        <f t="shared" si="48"/>
        <v/>
      </c>
      <c r="GB43" s="29" t="str">
        <f t="shared" si="48"/>
        <v/>
      </c>
      <c r="GC43" s="29" t="str">
        <f t="shared" si="48"/>
        <v/>
      </c>
      <c r="GD43" s="29" t="str">
        <f t="shared" si="48"/>
        <v/>
      </c>
      <c r="GE43" s="29" t="str">
        <f t="shared" si="48"/>
        <v/>
      </c>
      <c r="GF43" s="29" t="str">
        <f t="shared" si="48"/>
        <v/>
      </c>
      <c r="GG43" s="29" t="str">
        <f t="shared" si="48"/>
        <v/>
      </c>
      <c r="GH43" s="29" t="str">
        <f t="shared" si="48"/>
        <v/>
      </c>
      <c r="GI43" s="29" t="str">
        <f t="shared" si="48"/>
        <v/>
      </c>
      <c r="GJ43" s="29" t="str">
        <f t="shared" si="48"/>
        <v/>
      </c>
      <c r="GK43" s="29" t="str">
        <f t="shared" si="48"/>
        <v/>
      </c>
      <c r="GL43" s="29" t="str">
        <f t="shared" si="48"/>
        <v/>
      </c>
      <c r="GM43" s="29" t="str">
        <f t="shared" si="47"/>
        <v/>
      </c>
      <c r="GN43" s="29" t="str">
        <f t="shared" si="47"/>
        <v/>
      </c>
      <c r="GO43" s="29" t="str">
        <f t="shared" si="47"/>
        <v/>
      </c>
      <c r="GP43" s="29" t="str">
        <f t="shared" si="47"/>
        <v/>
      </c>
      <c r="GQ43" s="29" t="str">
        <f t="shared" si="47"/>
        <v/>
      </c>
      <c r="GR43" s="29" t="str">
        <f t="shared" si="47"/>
        <v/>
      </c>
      <c r="GS43" s="29" t="str">
        <f t="shared" si="47"/>
        <v/>
      </c>
      <c r="GT43" s="29" t="str">
        <f t="shared" si="47"/>
        <v/>
      </c>
      <c r="GU43" s="29" t="str">
        <f t="shared" si="47"/>
        <v/>
      </c>
      <c r="GV43" s="29" t="str">
        <f t="shared" si="47"/>
        <v/>
      </c>
      <c r="GW43" s="29" t="str">
        <f t="shared" si="47"/>
        <v/>
      </c>
      <c r="GX43" s="29" t="str">
        <f t="shared" si="47"/>
        <v/>
      </c>
      <c r="GY43" s="29" t="str">
        <f t="shared" si="47"/>
        <v/>
      </c>
      <c r="GZ43" s="29" t="str">
        <f t="shared" si="47"/>
        <v/>
      </c>
      <c r="HA43" s="29" t="str">
        <f t="shared" si="47"/>
        <v/>
      </c>
      <c r="HB43" s="29" t="str">
        <f t="shared" si="47"/>
        <v/>
      </c>
      <c r="HC43" s="29" t="str">
        <f t="shared" si="47"/>
        <v/>
      </c>
      <c r="HD43" s="29" t="str">
        <f t="shared" si="47"/>
        <v/>
      </c>
      <c r="HE43" s="29" t="str">
        <f t="shared" si="47"/>
        <v/>
      </c>
      <c r="HF43" s="29" t="str">
        <f t="shared" si="47"/>
        <v/>
      </c>
      <c r="HG43" s="29" t="str">
        <f t="shared" si="47"/>
        <v/>
      </c>
      <c r="HH43" s="29" t="str">
        <f t="shared" si="47"/>
        <v/>
      </c>
      <c r="HI43" s="29" t="str">
        <f t="shared" si="47"/>
        <v/>
      </c>
      <c r="HJ43" s="29" t="str">
        <f t="shared" si="47"/>
        <v/>
      </c>
      <c r="HK43" s="29" t="str">
        <f t="shared" si="47"/>
        <v/>
      </c>
      <c r="HL43" s="29" t="str">
        <f t="shared" si="47"/>
        <v/>
      </c>
      <c r="HM43" s="29" t="str">
        <f t="shared" si="47"/>
        <v/>
      </c>
      <c r="HN43" s="29" t="str">
        <f t="shared" si="47"/>
        <v/>
      </c>
      <c r="HO43" s="29" t="str">
        <f t="shared" si="47"/>
        <v/>
      </c>
      <c r="HP43" s="29" t="str">
        <f t="shared" si="47"/>
        <v/>
      </c>
      <c r="HQ43" s="29" t="str">
        <f t="shared" si="47"/>
        <v/>
      </c>
      <c r="HR43" s="29" t="str">
        <f t="shared" si="47"/>
        <v/>
      </c>
      <c r="HS43" s="29" t="str">
        <f t="shared" si="47"/>
        <v/>
      </c>
      <c r="HT43" s="29" t="str">
        <f t="shared" si="47"/>
        <v/>
      </c>
      <c r="HU43" s="29" t="str">
        <f t="shared" si="47"/>
        <v/>
      </c>
      <c r="HV43" s="29" t="str">
        <f t="shared" si="47"/>
        <v/>
      </c>
      <c r="HW43" s="29" t="str">
        <f t="shared" si="47"/>
        <v/>
      </c>
      <c r="HX43" s="29" t="str">
        <f t="shared" si="47"/>
        <v/>
      </c>
      <c r="HY43" s="29" t="str">
        <f t="shared" si="47"/>
        <v/>
      </c>
      <c r="HZ43" s="29" t="str">
        <f t="shared" si="47"/>
        <v/>
      </c>
      <c r="IA43" s="29" t="str">
        <f t="shared" si="47"/>
        <v/>
      </c>
      <c r="IB43" s="29" t="str">
        <f t="shared" si="47"/>
        <v/>
      </c>
      <c r="IC43" s="29" t="str">
        <f t="shared" si="47"/>
        <v/>
      </c>
      <c r="ID43" s="29" t="str">
        <f t="shared" si="47"/>
        <v/>
      </c>
      <c r="IE43" s="29" t="str">
        <f t="shared" si="47"/>
        <v/>
      </c>
      <c r="IF43" s="29" t="str">
        <f t="shared" si="47"/>
        <v/>
      </c>
      <c r="IG43" s="29" t="str">
        <f t="shared" si="47"/>
        <v/>
      </c>
      <c r="IH43" s="29" t="str">
        <f t="shared" si="47"/>
        <v/>
      </c>
      <c r="II43" s="29" t="str">
        <f t="shared" si="47"/>
        <v/>
      </c>
      <c r="IJ43" s="29" t="str">
        <f t="shared" si="47"/>
        <v/>
      </c>
      <c r="IK43" s="29" t="str">
        <f t="shared" si="47"/>
        <v/>
      </c>
      <c r="IL43" s="29" t="str">
        <f t="shared" si="47"/>
        <v/>
      </c>
      <c r="IM43" s="29" t="str">
        <f t="shared" si="47"/>
        <v/>
      </c>
      <c r="IN43" s="29" t="str">
        <f t="shared" si="47"/>
        <v/>
      </c>
      <c r="IO43" s="29" t="str">
        <f t="shared" si="47"/>
        <v/>
      </c>
      <c r="IP43" s="29" t="str">
        <f t="shared" si="47"/>
        <v/>
      </c>
      <c r="IQ43" s="29" t="str">
        <f t="shared" si="47"/>
        <v/>
      </c>
      <c r="IR43" s="29" t="str">
        <f t="shared" si="47"/>
        <v/>
      </c>
      <c r="IS43" s="29" t="str">
        <f t="shared" si="47"/>
        <v/>
      </c>
      <c r="IT43" s="29" t="str">
        <f t="shared" si="47"/>
        <v/>
      </c>
      <c r="IU43" s="29" t="str">
        <f t="shared" si="47"/>
        <v/>
      </c>
      <c r="IV43" s="29" t="str">
        <f t="shared" si="47"/>
        <v/>
      </c>
      <c r="IW43" s="29" t="str">
        <f t="shared" si="47"/>
        <v/>
      </c>
      <c r="IX43" s="29" t="str">
        <f t="shared" si="44"/>
        <v/>
      </c>
      <c r="IY43" s="29" t="str">
        <f t="shared" si="44"/>
        <v/>
      </c>
      <c r="IZ43" s="29" t="str">
        <f t="shared" si="44"/>
        <v/>
      </c>
      <c r="JA43" s="29" t="str">
        <f t="shared" si="41"/>
        <v/>
      </c>
      <c r="JB43" s="29" t="str">
        <f t="shared" si="45"/>
        <v/>
      </c>
      <c r="JC43" s="29" t="str">
        <f t="shared" si="45"/>
        <v/>
      </c>
      <c r="JD43" s="29" t="str">
        <f t="shared" si="45"/>
        <v/>
      </c>
      <c r="JE43" s="29" t="str">
        <f t="shared" si="45"/>
        <v/>
      </c>
      <c r="JF43" s="29" t="str">
        <f t="shared" si="45"/>
        <v/>
      </c>
      <c r="JG43" s="29" t="str">
        <f t="shared" si="45"/>
        <v/>
      </c>
      <c r="JH43" s="29" t="str">
        <f t="shared" si="45"/>
        <v/>
      </c>
      <c r="JI43" s="29" t="str">
        <f t="shared" si="45"/>
        <v/>
      </c>
      <c r="JJ43" s="29" t="str">
        <f t="shared" si="45"/>
        <v/>
      </c>
      <c r="JK43" s="29" t="str">
        <f t="shared" si="45"/>
        <v/>
      </c>
      <c r="JL43" s="29" t="str">
        <f t="shared" si="45"/>
        <v/>
      </c>
      <c r="JM43" s="29" t="str">
        <f t="shared" si="45"/>
        <v/>
      </c>
      <c r="JN43" s="29" t="str">
        <f t="shared" si="45"/>
        <v/>
      </c>
      <c r="JO43" s="29" t="str">
        <f t="shared" si="45"/>
        <v/>
      </c>
      <c r="JP43" s="29" t="str">
        <f t="shared" si="45"/>
        <v/>
      </c>
      <c r="JQ43" s="29" t="str">
        <f t="shared" si="45"/>
        <v/>
      </c>
      <c r="JR43" s="29" t="str">
        <f t="shared" si="45"/>
        <v/>
      </c>
      <c r="JS43" s="29" t="str">
        <f t="shared" si="45"/>
        <v/>
      </c>
      <c r="JT43" s="29" t="str">
        <f t="shared" si="45"/>
        <v/>
      </c>
      <c r="JU43" s="29" t="str">
        <f t="shared" si="45"/>
        <v/>
      </c>
      <c r="JV43" s="29" t="str">
        <f t="shared" si="45"/>
        <v/>
      </c>
      <c r="JW43" s="29" t="str">
        <f t="shared" si="45"/>
        <v/>
      </c>
      <c r="JX43" s="29" t="str">
        <f t="shared" si="45"/>
        <v/>
      </c>
      <c r="JY43" s="29" t="str">
        <f t="shared" si="45"/>
        <v/>
      </c>
      <c r="JZ43" s="29" t="str">
        <f t="shared" si="45"/>
        <v/>
      </c>
      <c r="KA43" s="29" t="str">
        <f t="shared" si="45"/>
        <v/>
      </c>
      <c r="KB43" s="29" t="str">
        <f t="shared" si="45"/>
        <v/>
      </c>
      <c r="KC43" s="29" t="str">
        <f t="shared" si="45"/>
        <v/>
      </c>
      <c r="KD43" s="29" t="str">
        <f t="shared" si="45"/>
        <v/>
      </c>
      <c r="KE43" s="29" t="str">
        <f t="shared" si="45"/>
        <v/>
      </c>
      <c r="KF43" s="29" t="str">
        <f t="shared" si="45"/>
        <v/>
      </c>
      <c r="KG43" s="29" t="str">
        <f t="shared" si="45"/>
        <v/>
      </c>
      <c r="KH43" s="29" t="str">
        <f t="shared" si="45"/>
        <v/>
      </c>
      <c r="KI43" s="29" t="str">
        <f t="shared" si="45"/>
        <v/>
      </c>
      <c r="KJ43" s="29" t="str">
        <f t="shared" si="45"/>
        <v/>
      </c>
      <c r="KK43" s="29" t="str">
        <f t="shared" si="45"/>
        <v/>
      </c>
      <c r="KL43" s="29" t="str">
        <f t="shared" si="45"/>
        <v/>
      </c>
      <c r="KM43" s="29" t="str">
        <f t="shared" si="45"/>
        <v/>
      </c>
      <c r="KN43" s="29" t="str">
        <f t="shared" si="45"/>
        <v/>
      </c>
      <c r="KO43" s="29" t="str">
        <f t="shared" si="45"/>
        <v/>
      </c>
      <c r="KP43" s="29" t="str">
        <f t="shared" si="45"/>
        <v/>
      </c>
    </row>
    <row r="44" spans="1:302" collapsed="1" x14ac:dyDescent="0.2">
      <c r="A44" s="92"/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3"/>
      <c r="AS44" s="93"/>
      <c r="AT44" s="93"/>
      <c r="AU44" s="93"/>
      <c r="AV44" s="93"/>
      <c r="AW44" s="93"/>
      <c r="AX44" s="93"/>
      <c r="AY44" s="93"/>
      <c r="AZ44" s="93"/>
      <c r="BA44" s="93"/>
      <c r="BB44" s="93"/>
      <c r="BC44" s="93"/>
      <c r="BD44" s="93"/>
      <c r="BE44" s="93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3"/>
      <c r="BQ44" s="93"/>
      <c r="BR44" s="93"/>
      <c r="BS44" s="93"/>
      <c r="BT44" s="93"/>
      <c r="BU44" s="93"/>
      <c r="BV44" s="93"/>
      <c r="BW44" s="93"/>
      <c r="BX44" s="93"/>
      <c r="BY44" s="93"/>
      <c r="BZ44" s="93"/>
      <c r="CA44" s="93"/>
      <c r="CB44" s="93"/>
      <c r="CC44" s="93"/>
      <c r="CD44" s="93"/>
      <c r="CE44" s="93"/>
      <c r="CF44" s="93"/>
      <c r="CG44" s="93"/>
      <c r="CH44" s="93"/>
      <c r="CI44" s="93"/>
      <c r="CJ44" s="93"/>
      <c r="CK44" s="93"/>
      <c r="CL44" s="93"/>
      <c r="CM44" s="93"/>
      <c r="CN44" s="93"/>
      <c r="CO44" s="93"/>
      <c r="CP44" s="93"/>
      <c r="CQ44" s="93"/>
      <c r="CR44" s="93"/>
      <c r="CS44" s="93"/>
      <c r="CT44" s="93"/>
      <c r="CU44" s="93"/>
      <c r="CV44" s="93"/>
      <c r="CW44" s="93"/>
      <c r="CX44" s="93"/>
      <c r="CY44" s="93"/>
      <c r="CZ44" s="93"/>
      <c r="DA44" s="93"/>
      <c r="DB44" s="93"/>
      <c r="DC44" s="93"/>
      <c r="DD44" s="93"/>
      <c r="DE44" s="93"/>
      <c r="DF44" s="93"/>
      <c r="DG44" s="93"/>
      <c r="DH44" s="93"/>
      <c r="DI44" s="93"/>
      <c r="DJ44" s="93"/>
      <c r="DK44" s="93"/>
      <c r="DL44" s="93"/>
      <c r="DM44" s="93"/>
      <c r="DN44" s="93"/>
      <c r="DO44" s="93"/>
      <c r="DP44" s="93"/>
      <c r="DQ44" s="93"/>
      <c r="DR44" s="93"/>
      <c r="DS44" s="93"/>
      <c r="DT44" s="93"/>
      <c r="DU44" s="93"/>
      <c r="DV44" s="93"/>
      <c r="DW44" s="93"/>
      <c r="DX44" s="93"/>
      <c r="DY44" s="93"/>
      <c r="DZ44" s="93"/>
      <c r="EA44" s="93"/>
      <c r="EB44" s="93"/>
      <c r="EC44" s="93"/>
      <c r="ED44" s="93"/>
      <c r="EE44" s="93"/>
      <c r="EF44" s="93"/>
      <c r="EG44" s="93"/>
      <c r="EH44" s="93"/>
      <c r="EI44" s="93"/>
      <c r="EJ44" s="93"/>
      <c r="EK44" s="93"/>
      <c r="EL44" s="93"/>
      <c r="EM44" s="93"/>
      <c r="EN44" s="93"/>
      <c r="EO44" s="93"/>
      <c r="EP44" s="93"/>
      <c r="EQ44" s="93"/>
      <c r="ER44" s="93"/>
      <c r="ES44" s="93"/>
      <c r="ET44" s="93"/>
      <c r="EU44" s="93"/>
      <c r="EV44" s="93"/>
      <c r="EW44" s="93"/>
      <c r="EX44" s="93"/>
      <c r="EY44" s="93"/>
      <c r="EZ44" s="93"/>
      <c r="FA44" s="93"/>
      <c r="FB44" s="93"/>
      <c r="FC44" s="93"/>
      <c r="FD44" s="93"/>
      <c r="FE44" s="93"/>
      <c r="FF44" s="93"/>
      <c r="FG44" s="93"/>
      <c r="FH44" s="93"/>
      <c r="FI44" s="93"/>
      <c r="FJ44" s="93"/>
      <c r="FK44" s="93"/>
      <c r="FL44" s="93"/>
      <c r="FM44" s="93"/>
      <c r="FN44" s="93"/>
      <c r="FO44" s="93"/>
      <c r="FP44" s="93"/>
      <c r="FQ44" s="93"/>
      <c r="FR44" s="93"/>
      <c r="FS44" s="93"/>
      <c r="FT44" s="93"/>
      <c r="FU44" s="93"/>
      <c r="FV44" s="93"/>
      <c r="FW44" s="93"/>
      <c r="FX44" s="93"/>
      <c r="FY44" s="93"/>
      <c r="FZ44" s="93"/>
      <c r="GA44" s="93"/>
      <c r="GB44" s="93"/>
      <c r="GC44" s="93"/>
      <c r="GD44" s="93"/>
      <c r="GE44" s="93"/>
      <c r="GF44" s="93"/>
      <c r="GG44" s="93"/>
      <c r="GH44" s="93"/>
      <c r="GI44" s="93"/>
      <c r="GJ44" s="93"/>
      <c r="GK44" s="93"/>
      <c r="GL44" s="93"/>
      <c r="GM44" s="93"/>
      <c r="GN44" s="93"/>
      <c r="GO44" s="93"/>
      <c r="GP44" s="93"/>
      <c r="GQ44" s="93"/>
      <c r="GR44" s="93"/>
      <c r="GS44" s="93"/>
    </row>
    <row r="45" spans="1:302" x14ac:dyDescent="0.2">
      <c r="A45" s="92"/>
      <c r="B45" s="93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3"/>
      <c r="AS45" s="93"/>
      <c r="AT45" s="93"/>
      <c r="AU45" s="93"/>
      <c r="AV45" s="93"/>
      <c r="AW45" s="93"/>
      <c r="AX45" s="93"/>
      <c r="AY45" s="93"/>
      <c r="AZ45" s="93"/>
      <c r="BA45" s="93"/>
      <c r="BB45" s="93"/>
      <c r="BC45" s="93"/>
      <c r="BD45" s="93"/>
      <c r="BE45" s="93"/>
      <c r="BF45" s="93"/>
      <c r="BG45" s="93"/>
      <c r="BH45" s="93"/>
      <c r="BI45" s="93"/>
      <c r="BJ45" s="93"/>
      <c r="BK45" s="93"/>
      <c r="BL45" s="93"/>
      <c r="BM45" s="93"/>
      <c r="BN45" s="93"/>
      <c r="BO45" s="93"/>
      <c r="BP45" s="93"/>
      <c r="BQ45" s="93"/>
      <c r="BR45" s="93"/>
      <c r="BS45" s="93"/>
      <c r="BT45" s="93"/>
      <c r="BU45" s="93"/>
      <c r="BV45" s="93"/>
      <c r="BW45" s="93"/>
      <c r="BX45" s="93"/>
      <c r="BY45" s="93"/>
      <c r="BZ45" s="93"/>
      <c r="CA45" s="93"/>
      <c r="CB45" s="93"/>
      <c r="CC45" s="93"/>
      <c r="CD45" s="93"/>
      <c r="CE45" s="93"/>
      <c r="CF45" s="93"/>
      <c r="CG45" s="93"/>
      <c r="CH45" s="93"/>
      <c r="CI45" s="93"/>
      <c r="CJ45" s="93"/>
      <c r="CK45" s="93"/>
      <c r="CL45" s="93"/>
      <c r="CM45" s="93"/>
      <c r="CN45" s="93"/>
      <c r="CO45" s="93"/>
      <c r="CP45" s="93"/>
      <c r="CQ45" s="93"/>
      <c r="CR45" s="93"/>
      <c r="CS45" s="93"/>
      <c r="CT45" s="93"/>
      <c r="CU45" s="93"/>
      <c r="CV45" s="93"/>
      <c r="CW45" s="93"/>
      <c r="CX45" s="93"/>
      <c r="CY45" s="93"/>
      <c r="CZ45" s="93"/>
      <c r="DA45" s="93"/>
      <c r="DB45" s="93"/>
      <c r="DC45" s="93"/>
      <c r="DD45" s="93"/>
      <c r="DE45" s="93"/>
      <c r="DF45" s="93"/>
      <c r="DG45" s="93"/>
      <c r="DH45" s="93"/>
      <c r="DI45" s="93"/>
      <c r="DJ45" s="93"/>
      <c r="DK45" s="93"/>
      <c r="DL45" s="93"/>
      <c r="DM45" s="93"/>
      <c r="DN45" s="93"/>
      <c r="DO45" s="93"/>
      <c r="DP45" s="93"/>
      <c r="DQ45" s="93"/>
      <c r="DR45" s="93"/>
      <c r="DS45" s="93"/>
      <c r="DT45" s="93"/>
      <c r="DU45" s="93"/>
      <c r="DV45" s="93"/>
      <c r="DW45" s="93"/>
      <c r="DX45" s="93"/>
      <c r="DY45" s="93"/>
      <c r="DZ45" s="93"/>
      <c r="EA45" s="93"/>
      <c r="EB45" s="93"/>
      <c r="EC45" s="93"/>
      <c r="ED45" s="93"/>
      <c r="EE45" s="93"/>
      <c r="EF45" s="93"/>
      <c r="EG45" s="93"/>
      <c r="EH45" s="93"/>
      <c r="EI45" s="93"/>
      <c r="EJ45" s="93"/>
      <c r="EK45" s="93"/>
      <c r="EL45" s="93"/>
      <c r="EM45" s="93"/>
      <c r="EN45" s="93"/>
      <c r="EO45" s="93"/>
      <c r="EP45" s="93"/>
      <c r="EQ45" s="93"/>
      <c r="ER45" s="93"/>
      <c r="ES45" s="93"/>
      <c r="ET45" s="93"/>
      <c r="EU45" s="93"/>
      <c r="EV45" s="93"/>
      <c r="EW45" s="93"/>
      <c r="EX45" s="93"/>
      <c r="EY45" s="93"/>
      <c r="EZ45" s="93"/>
      <c r="FA45" s="93"/>
      <c r="FB45" s="93"/>
      <c r="FC45" s="93"/>
      <c r="FD45" s="93"/>
      <c r="FE45" s="93"/>
      <c r="FF45" s="93"/>
      <c r="FG45" s="93"/>
      <c r="FH45" s="93"/>
      <c r="FI45" s="93"/>
      <c r="FJ45" s="93"/>
      <c r="FK45" s="93"/>
      <c r="FL45" s="93"/>
      <c r="FM45" s="93"/>
      <c r="FN45" s="93"/>
      <c r="FO45" s="93"/>
      <c r="FP45" s="93"/>
      <c r="FQ45" s="93"/>
      <c r="FR45" s="93"/>
      <c r="FS45" s="93"/>
      <c r="FT45" s="93"/>
      <c r="FU45" s="93"/>
      <c r="FV45" s="93"/>
      <c r="FW45" s="93"/>
      <c r="FX45" s="93"/>
      <c r="FY45" s="93"/>
      <c r="FZ45" s="93"/>
      <c r="GA45" s="93"/>
      <c r="GB45" s="93"/>
      <c r="GC45" s="93"/>
      <c r="GD45" s="93"/>
      <c r="GE45" s="93"/>
      <c r="GF45" s="93"/>
      <c r="GG45" s="93"/>
      <c r="GH45" s="93"/>
      <c r="GI45" s="93"/>
      <c r="GJ45" s="93"/>
      <c r="GK45" s="93"/>
      <c r="GL45" s="93"/>
      <c r="GM45" s="93"/>
      <c r="GN45" s="93"/>
      <c r="GO45" s="93"/>
      <c r="GP45" s="93"/>
      <c r="GQ45" s="93"/>
      <c r="GR45" s="93"/>
      <c r="GS45" s="93"/>
    </row>
    <row r="46" spans="1:302" x14ac:dyDescent="0.2">
      <c r="A46" s="92"/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3"/>
      <c r="AS46" s="93"/>
      <c r="AT46" s="93"/>
      <c r="AU46" s="93"/>
      <c r="AV46" s="93"/>
      <c r="AW46" s="93"/>
      <c r="AX46" s="93"/>
      <c r="AY46" s="93"/>
      <c r="AZ46" s="93"/>
      <c r="BA46" s="93"/>
      <c r="BB46" s="93"/>
      <c r="BC46" s="93"/>
      <c r="BD46" s="93"/>
      <c r="BE46" s="93"/>
      <c r="BF46" s="93"/>
      <c r="BG46" s="93"/>
      <c r="BH46" s="93"/>
      <c r="BI46" s="93"/>
      <c r="BJ46" s="93"/>
      <c r="BK46" s="93"/>
      <c r="BL46" s="93"/>
      <c r="BM46" s="93"/>
      <c r="BN46" s="93"/>
      <c r="BO46" s="93"/>
      <c r="BP46" s="93"/>
      <c r="BQ46" s="93"/>
      <c r="BR46" s="93"/>
      <c r="BS46" s="93"/>
      <c r="BT46" s="93"/>
      <c r="BU46" s="93"/>
      <c r="BV46" s="93"/>
      <c r="BW46" s="93"/>
      <c r="BX46" s="93"/>
      <c r="BY46" s="93"/>
      <c r="BZ46" s="93"/>
      <c r="CA46" s="93"/>
      <c r="CB46" s="93"/>
      <c r="CC46" s="93"/>
      <c r="CD46" s="93"/>
      <c r="CE46" s="93"/>
      <c r="CF46" s="93"/>
      <c r="CG46" s="93"/>
      <c r="CH46" s="93"/>
      <c r="CI46" s="93"/>
      <c r="CJ46" s="93"/>
      <c r="CK46" s="93"/>
      <c r="CL46" s="93"/>
      <c r="CM46" s="93"/>
      <c r="CN46" s="93"/>
      <c r="CO46" s="93"/>
      <c r="CP46" s="93"/>
      <c r="CQ46" s="93"/>
      <c r="CR46" s="93"/>
      <c r="CS46" s="93"/>
      <c r="CT46" s="93"/>
      <c r="CU46" s="93"/>
      <c r="CV46" s="93"/>
      <c r="CW46" s="93"/>
      <c r="CX46" s="93"/>
      <c r="CY46" s="93"/>
      <c r="CZ46" s="93"/>
      <c r="DA46" s="93"/>
      <c r="DB46" s="93"/>
      <c r="DC46" s="93"/>
      <c r="DD46" s="93"/>
      <c r="DE46" s="93"/>
      <c r="DF46" s="93"/>
      <c r="DG46" s="93"/>
      <c r="DH46" s="93"/>
      <c r="DI46" s="93"/>
      <c r="DJ46" s="93"/>
      <c r="DK46" s="93"/>
      <c r="DL46" s="93"/>
      <c r="DM46" s="93"/>
      <c r="DN46" s="93"/>
      <c r="DO46" s="93"/>
      <c r="DP46" s="93"/>
      <c r="DQ46" s="93"/>
      <c r="DR46" s="93"/>
      <c r="DS46" s="93"/>
      <c r="DT46" s="93"/>
      <c r="DU46" s="93"/>
      <c r="DV46" s="93"/>
      <c r="DW46" s="93"/>
      <c r="DX46" s="93"/>
      <c r="DY46" s="93"/>
      <c r="DZ46" s="93"/>
      <c r="EA46" s="93"/>
      <c r="EB46" s="93"/>
      <c r="EC46" s="93"/>
      <c r="ED46" s="93"/>
      <c r="EE46" s="93"/>
      <c r="EF46" s="93"/>
      <c r="EG46" s="93"/>
      <c r="EH46" s="93"/>
      <c r="EI46" s="93"/>
      <c r="EJ46" s="93"/>
      <c r="EK46" s="93"/>
      <c r="EL46" s="93"/>
      <c r="EM46" s="93"/>
      <c r="EN46" s="93"/>
      <c r="EO46" s="93"/>
      <c r="EP46" s="93"/>
      <c r="EQ46" s="93"/>
      <c r="ER46" s="93"/>
      <c r="ES46" s="93"/>
      <c r="ET46" s="93"/>
      <c r="EU46" s="93"/>
      <c r="EV46" s="93"/>
      <c r="EW46" s="93"/>
      <c r="EX46" s="93"/>
      <c r="EY46" s="93"/>
      <c r="EZ46" s="93"/>
      <c r="FA46" s="93"/>
      <c r="FB46" s="93"/>
      <c r="FC46" s="93"/>
      <c r="FD46" s="93"/>
      <c r="FE46" s="93"/>
      <c r="FF46" s="93"/>
      <c r="FG46" s="93"/>
      <c r="FH46" s="93"/>
      <c r="FI46" s="93"/>
      <c r="FJ46" s="93"/>
      <c r="FK46" s="93"/>
      <c r="FL46" s="93"/>
      <c r="FM46" s="93"/>
      <c r="FN46" s="93"/>
      <c r="FO46" s="93"/>
      <c r="FP46" s="93"/>
      <c r="FQ46" s="93"/>
      <c r="FR46" s="93"/>
      <c r="FS46" s="93"/>
      <c r="FT46" s="93"/>
      <c r="FU46" s="93"/>
      <c r="FV46" s="93"/>
      <c r="FW46" s="93"/>
      <c r="FX46" s="93"/>
      <c r="FY46" s="93"/>
      <c r="FZ46" s="93"/>
      <c r="GA46" s="93"/>
      <c r="GB46" s="93"/>
      <c r="GC46" s="93"/>
      <c r="GD46" s="93"/>
      <c r="GE46" s="93"/>
      <c r="GF46" s="93"/>
      <c r="GG46" s="93"/>
      <c r="GH46" s="93"/>
      <c r="GI46" s="93"/>
      <c r="GJ46" s="93"/>
      <c r="GK46" s="93"/>
      <c r="GL46" s="93"/>
      <c r="GM46" s="93"/>
      <c r="GN46" s="93"/>
      <c r="GO46" s="93"/>
      <c r="GP46" s="93"/>
      <c r="GQ46" s="93"/>
      <c r="GR46" s="93"/>
      <c r="GS46" s="93"/>
    </row>
    <row r="47" spans="1:302" x14ac:dyDescent="0.2">
      <c r="A47" s="137" t="s">
        <v>40</v>
      </c>
      <c r="B47" s="138"/>
    </row>
    <row r="48" spans="1:302" x14ac:dyDescent="0.2">
      <c r="A48" s="94" t="s">
        <v>42</v>
      </c>
      <c r="B48" s="94" t="s">
        <v>41</v>
      </c>
    </row>
    <row r="49" spans="1:2" x14ac:dyDescent="0.2">
      <c r="A49" s="95">
        <f t="shared" ref="A49:A52" si="51">A50-0.005</f>
        <v>-2.5000000000000001E-2</v>
      </c>
      <c r="B49" s="96">
        <f t="shared" ref="B49:B59" si="52">SUM(B29:GS29)</f>
        <v>0</v>
      </c>
    </row>
    <row r="50" spans="1:2" x14ac:dyDescent="0.2">
      <c r="A50" s="95">
        <f t="shared" si="51"/>
        <v>-0.02</v>
      </c>
      <c r="B50" s="96">
        <f t="shared" si="52"/>
        <v>0</v>
      </c>
    </row>
    <row r="51" spans="1:2" x14ac:dyDescent="0.2">
      <c r="A51" s="95">
        <f t="shared" si="51"/>
        <v>-1.4999999999999999E-2</v>
      </c>
      <c r="B51" s="96">
        <f t="shared" si="52"/>
        <v>0</v>
      </c>
    </row>
    <row r="52" spans="1:2" x14ac:dyDescent="0.2">
      <c r="A52" s="95">
        <f t="shared" si="51"/>
        <v>-0.01</v>
      </c>
      <c r="B52" s="96">
        <f t="shared" si="52"/>
        <v>0</v>
      </c>
    </row>
    <row r="53" spans="1:2" x14ac:dyDescent="0.2">
      <c r="A53" s="95">
        <f>A54-0.005</f>
        <v>-5.0000000000000001E-3</v>
      </c>
      <c r="B53" s="96">
        <f t="shared" si="52"/>
        <v>0</v>
      </c>
    </row>
    <row r="54" spans="1:2" x14ac:dyDescent="0.2">
      <c r="A54" s="95">
        <f>WACC</f>
        <v>0</v>
      </c>
      <c r="B54" s="96">
        <f t="shared" si="52"/>
        <v>0</v>
      </c>
    </row>
    <row r="55" spans="1:2" x14ac:dyDescent="0.2">
      <c r="A55" s="95">
        <f>A54+0.005</f>
        <v>5.0000000000000001E-3</v>
      </c>
      <c r="B55" s="96">
        <f t="shared" si="52"/>
        <v>0</v>
      </c>
    </row>
    <row r="56" spans="1:2" x14ac:dyDescent="0.2">
      <c r="A56" s="95">
        <f t="shared" ref="A56:A59" si="53">A55+0.005</f>
        <v>0.01</v>
      </c>
      <c r="B56" s="96">
        <f t="shared" si="52"/>
        <v>0</v>
      </c>
    </row>
    <row r="57" spans="1:2" x14ac:dyDescent="0.2">
      <c r="A57" s="95">
        <f t="shared" si="53"/>
        <v>1.4999999999999999E-2</v>
      </c>
      <c r="B57" s="96">
        <f t="shared" si="52"/>
        <v>0</v>
      </c>
    </row>
    <row r="58" spans="1:2" x14ac:dyDescent="0.2">
      <c r="A58" s="95">
        <f t="shared" si="53"/>
        <v>0.02</v>
      </c>
      <c r="B58" s="96">
        <f t="shared" si="52"/>
        <v>0</v>
      </c>
    </row>
    <row r="59" spans="1:2" x14ac:dyDescent="0.2">
      <c r="A59" s="95">
        <f t="shared" si="53"/>
        <v>2.5000000000000001E-2</v>
      </c>
      <c r="B59" s="96">
        <f t="shared" si="52"/>
        <v>0</v>
      </c>
    </row>
  </sheetData>
  <mergeCells count="1">
    <mergeCell ref="A47:B47"/>
  </mergeCells>
  <conditionalFormatting sqref="A29:A43">
    <cfRule type="cellIs" dxfId="1" priority="2" operator="equal">
      <formula>$B$1</formula>
    </cfRule>
  </conditionalFormatting>
  <conditionalFormatting sqref="A49:A59">
    <cfRule type="cellIs" dxfId="0" priority="1" operator="equal">
      <formula>$B$1</formula>
    </cfRule>
  </conditionalFormatting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7" enableFormatConditionsCalculation="0"/>
  <dimension ref="A1:F30"/>
  <sheetViews>
    <sheetView workbookViewId="0">
      <selection activeCell="D2" sqref="D2"/>
    </sheetView>
  </sheetViews>
  <sheetFormatPr baseColWidth="10" defaultRowHeight="16" x14ac:dyDescent="0.2"/>
  <cols>
    <col min="1" max="1" width="18.33203125" customWidth="1"/>
    <col min="2" max="3" width="18.33203125" style="5" customWidth="1"/>
    <col min="4" max="4" width="18.33203125" style="4" customWidth="1"/>
    <col min="5" max="6" width="19.6640625" customWidth="1"/>
  </cols>
  <sheetData>
    <row r="1" spans="1:6" x14ac:dyDescent="0.2">
      <c r="A1" s="49" t="s">
        <v>47</v>
      </c>
      <c r="B1" s="55">
        <f ca="1">TODAY()</f>
        <v>43077</v>
      </c>
      <c r="C1"/>
      <c r="D1"/>
    </row>
    <row r="2" spans="1:6" x14ac:dyDescent="0.2">
      <c r="A2" s="49" t="s">
        <v>48</v>
      </c>
      <c r="B2" s="55">
        <f ca="1">DATE(YEAR(B1)+1,MONTH(B1),DAY(B1))</f>
        <v>43442</v>
      </c>
      <c r="C2"/>
      <c r="D2"/>
    </row>
    <row r="3" spans="1:6" x14ac:dyDescent="0.2">
      <c r="A3" s="63"/>
      <c r="B3" s="64"/>
      <c r="C3"/>
      <c r="D3"/>
    </row>
    <row r="4" spans="1:6" ht="21" x14ac:dyDescent="0.25">
      <c r="B4" s="57" t="s">
        <v>54</v>
      </c>
      <c r="C4" s="60"/>
      <c r="D4" s="57" t="s">
        <v>53</v>
      </c>
      <c r="E4" s="139" t="s">
        <v>55</v>
      </c>
      <c r="F4" s="139"/>
    </row>
    <row r="5" spans="1:6" x14ac:dyDescent="0.2">
      <c r="A5" s="58" t="s">
        <v>49</v>
      </c>
      <c r="B5" s="58" t="s">
        <v>50</v>
      </c>
      <c r="C5" s="58" t="s">
        <v>51</v>
      </c>
      <c r="D5" s="58" t="s">
        <v>52</v>
      </c>
      <c r="E5" s="58" t="s">
        <v>56</v>
      </c>
      <c r="F5" s="58" t="s">
        <v>57</v>
      </c>
    </row>
    <row r="6" spans="1:6" x14ac:dyDescent="0.2">
      <c r="A6" s="9">
        <f ca="1">B1</f>
        <v>43077</v>
      </c>
      <c r="B6" s="5">
        <v>0</v>
      </c>
      <c r="C6" s="5">
        <v>500</v>
      </c>
      <c r="D6" s="61">
        <v>450</v>
      </c>
      <c r="E6" s="59"/>
      <c r="F6" s="59"/>
    </row>
    <row r="7" spans="1:6" x14ac:dyDescent="0.2">
      <c r="A7" s="56">
        <v>43070</v>
      </c>
      <c r="B7" s="5">
        <v>500</v>
      </c>
      <c r="C7" s="5">
        <v>-400</v>
      </c>
      <c r="D7" s="61">
        <f t="shared" ref="D7:D30" si="0">B7+C7</f>
        <v>100</v>
      </c>
      <c r="E7" s="62">
        <f>IF(D7=0,"",(B7/D6)-1)</f>
        <v>0.11111111111111116</v>
      </c>
    </row>
    <row r="8" spans="1:6" x14ac:dyDescent="0.2">
      <c r="B8" s="5">
        <v>75</v>
      </c>
      <c r="D8" s="61">
        <f t="shared" si="0"/>
        <v>75</v>
      </c>
      <c r="E8" s="62">
        <f t="shared" ref="E8:E30" si="1">IF(D8=0,"",(B8/D7)-1)</f>
        <v>-0.25</v>
      </c>
    </row>
    <row r="9" spans="1:6" x14ac:dyDescent="0.2">
      <c r="D9" s="61">
        <f t="shared" si="0"/>
        <v>0</v>
      </c>
      <c r="E9" s="62" t="str">
        <f t="shared" si="1"/>
        <v/>
      </c>
    </row>
    <row r="10" spans="1:6" x14ac:dyDescent="0.2">
      <c r="D10" s="61">
        <f t="shared" si="0"/>
        <v>0</v>
      </c>
      <c r="E10" s="62" t="str">
        <f t="shared" si="1"/>
        <v/>
      </c>
    </row>
    <row r="11" spans="1:6" x14ac:dyDescent="0.2">
      <c r="D11" s="61">
        <f t="shared" si="0"/>
        <v>0</v>
      </c>
      <c r="E11" s="62" t="str">
        <f t="shared" si="1"/>
        <v/>
      </c>
    </row>
    <row r="12" spans="1:6" x14ac:dyDescent="0.2">
      <c r="D12" s="61">
        <f t="shared" si="0"/>
        <v>0</v>
      </c>
      <c r="E12" s="62" t="str">
        <f t="shared" si="1"/>
        <v/>
      </c>
    </row>
    <row r="13" spans="1:6" x14ac:dyDescent="0.2">
      <c r="D13" s="61">
        <f t="shared" si="0"/>
        <v>0</v>
      </c>
      <c r="E13" s="62" t="str">
        <f t="shared" si="1"/>
        <v/>
      </c>
    </row>
    <row r="14" spans="1:6" x14ac:dyDescent="0.2">
      <c r="D14" s="61">
        <f t="shared" si="0"/>
        <v>0</v>
      </c>
      <c r="E14" s="62" t="str">
        <f t="shared" si="1"/>
        <v/>
      </c>
    </row>
    <row r="15" spans="1:6" x14ac:dyDescent="0.2">
      <c r="D15" s="61">
        <f t="shared" si="0"/>
        <v>0</v>
      </c>
      <c r="E15" s="62" t="str">
        <f t="shared" si="1"/>
        <v/>
      </c>
    </row>
    <row r="16" spans="1:6" x14ac:dyDescent="0.2">
      <c r="D16" s="61">
        <f t="shared" si="0"/>
        <v>0</v>
      </c>
      <c r="E16" s="62" t="str">
        <f t="shared" si="1"/>
        <v/>
      </c>
    </row>
    <row r="17" spans="4:5" x14ac:dyDescent="0.2">
      <c r="D17" s="61">
        <f t="shared" si="0"/>
        <v>0</v>
      </c>
      <c r="E17" s="62" t="str">
        <f t="shared" si="1"/>
        <v/>
      </c>
    </row>
    <row r="18" spans="4:5" x14ac:dyDescent="0.2">
      <c r="D18" s="61">
        <f t="shared" si="0"/>
        <v>0</v>
      </c>
      <c r="E18" s="62" t="str">
        <f t="shared" si="1"/>
        <v/>
      </c>
    </row>
    <row r="19" spans="4:5" x14ac:dyDescent="0.2">
      <c r="D19" s="61">
        <f t="shared" si="0"/>
        <v>0</v>
      </c>
      <c r="E19" s="62" t="str">
        <f t="shared" si="1"/>
        <v/>
      </c>
    </row>
    <row r="20" spans="4:5" x14ac:dyDescent="0.2">
      <c r="D20" s="61">
        <f t="shared" si="0"/>
        <v>0</v>
      </c>
      <c r="E20" s="62" t="str">
        <f t="shared" si="1"/>
        <v/>
      </c>
    </row>
    <row r="21" spans="4:5" x14ac:dyDescent="0.2">
      <c r="D21" s="61">
        <f t="shared" si="0"/>
        <v>0</v>
      </c>
      <c r="E21" s="62" t="str">
        <f t="shared" si="1"/>
        <v/>
      </c>
    </row>
    <row r="22" spans="4:5" x14ac:dyDescent="0.2">
      <c r="D22" s="61">
        <f t="shared" si="0"/>
        <v>0</v>
      </c>
      <c r="E22" s="62" t="str">
        <f t="shared" si="1"/>
        <v/>
      </c>
    </row>
    <row r="23" spans="4:5" x14ac:dyDescent="0.2">
      <c r="D23" s="61">
        <f t="shared" si="0"/>
        <v>0</v>
      </c>
      <c r="E23" s="62" t="str">
        <f t="shared" si="1"/>
        <v/>
      </c>
    </row>
    <row r="24" spans="4:5" x14ac:dyDescent="0.2">
      <c r="D24" s="61">
        <f t="shared" si="0"/>
        <v>0</v>
      </c>
      <c r="E24" s="62" t="str">
        <f t="shared" si="1"/>
        <v/>
      </c>
    </row>
    <row r="25" spans="4:5" x14ac:dyDescent="0.2">
      <c r="D25" s="61">
        <f t="shared" si="0"/>
        <v>0</v>
      </c>
      <c r="E25" s="62" t="str">
        <f t="shared" si="1"/>
        <v/>
      </c>
    </row>
    <row r="26" spans="4:5" x14ac:dyDescent="0.2">
      <c r="D26" s="61">
        <f t="shared" si="0"/>
        <v>0</v>
      </c>
      <c r="E26" s="62" t="str">
        <f t="shared" si="1"/>
        <v/>
      </c>
    </row>
    <row r="27" spans="4:5" x14ac:dyDescent="0.2">
      <c r="D27" s="61">
        <f t="shared" si="0"/>
        <v>0</v>
      </c>
      <c r="E27" s="62" t="str">
        <f t="shared" si="1"/>
        <v/>
      </c>
    </row>
    <row r="28" spans="4:5" x14ac:dyDescent="0.2">
      <c r="D28" s="61">
        <f t="shared" si="0"/>
        <v>0</v>
      </c>
      <c r="E28" s="62" t="str">
        <f t="shared" si="1"/>
        <v/>
      </c>
    </row>
    <row r="29" spans="4:5" x14ac:dyDescent="0.2">
      <c r="D29" s="61">
        <f t="shared" si="0"/>
        <v>0</v>
      </c>
      <c r="E29" s="62" t="str">
        <f t="shared" si="1"/>
        <v/>
      </c>
    </row>
    <row r="30" spans="4:5" x14ac:dyDescent="0.2">
      <c r="D30" s="61">
        <f t="shared" si="0"/>
        <v>0</v>
      </c>
      <c r="E30" s="62" t="str">
        <f t="shared" si="1"/>
        <v/>
      </c>
    </row>
  </sheetData>
  <mergeCells count="1">
    <mergeCell ref="E4:F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6" enableFormatConditionsCalculation="0"/>
  <dimension ref="A1:H15"/>
  <sheetViews>
    <sheetView zoomScale="109" workbookViewId="0">
      <selection activeCell="H7" sqref="H7"/>
    </sheetView>
  </sheetViews>
  <sheetFormatPr baseColWidth="10" defaultRowHeight="16" x14ac:dyDescent="0.2"/>
  <cols>
    <col min="1" max="2" width="14.33203125" customWidth="1"/>
    <col min="4" max="4" width="22.83203125" style="7" customWidth="1"/>
    <col min="5" max="8" width="22.83203125" customWidth="1"/>
  </cols>
  <sheetData>
    <row r="1" spans="1:8" x14ac:dyDescent="0.2">
      <c r="A1" t="s">
        <v>6</v>
      </c>
      <c r="B1" s="6">
        <v>0.04</v>
      </c>
      <c r="D1"/>
    </row>
    <row r="2" spans="1:8" x14ac:dyDescent="0.2">
      <c r="A2" t="s">
        <v>7</v>
      </c>
      <c r="B2">
        <v>8</v>
      </c>
      <c r="D2"/>
    </row>
    <row r="3" spans="1:8" x14ac:dyDescent="0.2">
      <c r="A3" t="s">
        <v>8</v>
      </c>
      <c r="B3">
        <v>1050</v>
      </c>
      <c r="D3"/>
    </row>
    <row r="4" spans="1:8" x14ac:dyDescent="0.2">
      <c r="A4" t="s">
        <v>9</v>
      </c>
      <c r="B4">
        <v>1000</v>
      </c>
      <c r="D4"/>
    </row>
    <row r="5" spans="1:8" x14ac:dyDescent="0.2">
      <c r="A5" t="s">
        <v>10</v>
      </c>
      <c r="B5" s="6">
        <v>0.04</v>
      </c>
      <c r="D5"/>
    </row>
    <row r="6" spans="1:8" x14ac:dyDescent="0.2">
      <c r="B6" s="6"/>
      <c r="D6" s="8" t="s">
        <v>14</v>
      </c>
      <c r="E6" s="8" t="s">
        <v>11</v>
      </c>
      <c r="F6" s="8" t="s">
        <v>12</v>
      </c>
      <c r="G6" s="8" t="s">
        <v>5</v>
      </c>
      <c r="H6" s="8" t="s">
        <v>13</v>
      </c>
    </row>
    <row r="7" spans="1:8" x14ac:dyDescent="0.2">
      <c r="D7" s="7">
        <v>0</v>
      </c>
      <c r="E7">
        <f>$B$4*($B$1/2)</f>
        <v>20</v>
      </c>
      <c r="H7">
        <f>($E7-$B$3*($B$5/2))*((1-(1+$B$5/2)^-($B$2-$D7*2))/($B$5/2)) + $B$3</f>
        <v>1042.6745185595055</v>
      </c>
    </row>
    <row r="8" spans="1:8" x14ac:dyDescent="0.2">
      <c r="D8" s="7">
        <v>0.5</v>
      </c>
      <c r="E8">
        <f>E7</f>
        <v>20</v>
      </c>
      <c r="F8">
        <f>H7*($B$5/2)</f>
        <v>20.853490371190109</v>
      </c>
      <c r="G8">
        <f>E8-F8</f>
        <v>-0.85349037119010873</v>
      </c>
      <c r="H8">
        <f t="shared" ref="H8:H15" si="0">H7-G8</f>
        <v>1043.5280089306957</v>
      </c>
    </row>
    <row r="9" spans="1:8" x14ac:dyDescent="0.2">
      <c r="D9" s="7">
        <v>1</v>
      </c>
      <c r="E9">
        <f t="shared" ref="E9:E14" si="1">E8</f>
        <v>20</v>
      </c>
      <c r="F9">
        <f t="shared" ref="F9:F15" si="2">H8*($B$5/2)</f>
        <v>20.870560178613914</v>
      </c>
      <c r="G9">
        <f t="shared" ref="G9:G15" si="3">E9-F9</f>
        <v>-0.8705601786139141</v>
      </c>
      <c r="H9">
        <f t="shared" si="0"/>
        <v>1044.3985691093096</v>
      </c>
    </row>
    <row r="10" spans="1:8" x14ac:dyDescent="0.2">
      <c r="D10" s="7">
        <v>1.5</v>
      </c>
      <c r="E10">
        <f t="shared" si="1"/>
        <v>20</v>
      </c>
      <c r="F10">
        <f t="shared" si="2"/>
        <v>20.887971382186194</v>
      </c>
      <c r="G10">
        <f t="shared" si="3"/>
        <v>-0.88797138218619409</v>
      </c>
      <c r="H10">
        <f t="shared" si="0"/>
        <v>1045.2865404914958</v>
      </c>
    </row>
    <row r="11" spans="1:8" x14ac:dyDescent="0.2">
      <c r="D11" s="7">
        <v>2</v>
      </c>
      <c r="E11">
        <f t="shared" si="1"/>
        <v>20</v>
      </c>
      <c r="F11">
        <f t="shared" si="2"/>
        <v>20.905730809829915</v>
      </c>
      <c r="G11">
        <f t="shared" si="3"/>
        <v>-0.90573080982991527</v>
      </c>
      <c r="H11">
        <f t="shared" si="0"/>
        <v>1046.1922713013257</v>
      </c>
    </row>
    <row r="12" spans="1:8" x14ac:dyDescent="0.2">
      <c r="D12" s="7">
        <v>2.5</v>
      </c>
      <c r="E12">
        <f t="shared" si="1"/>
        <v>20</v>
      </c>
      <c r="F12">
        <f t="shared" si="2"/>
        <v>20.923845426026514</v>
      </c>
      <c r="G12">
        <f t="shared" si="3"/>
        <v>-0.92384542602651365</v>
      </c>
      <c r="H12">
        <f t="shared" si="0"/>
        <v>1047.1161167273522</v>
      </c>
    </row>
    <row r="13" spans="1:8" x14ac:dyDescent="0.2">
      <c r="D13" s="7">
        <v>3</v>
      </c>
      <c r="E13">
        <f t="shared" si="1"/>
        <v>20</v>
      </c>
      <c r="F13">
        <f t="shared" si="2"/>
        <v>20.942322334547043</v>
      </c>
      <c r="G13">
        <f t="shared" si="3"/>
        <v>-0.94232233454704328</v>
      </c>
      <c r="H13">
        <f t="shared" si="0"/>
        <v>1048.0584390618992</v>
      </c>
    </row>
    <row r="14" spans="1:8" x14ac:dyDescent="0.2">
      <c r="D14" s="7">
        <v>3.5</v>
      </c>
      <c r="E14">
        <f t="shared" si="1"/>
        <v>20</v>
      </c>
      <c r="F14">
        <f t="shared" si="2"/>
        <v>20.961168781237983</v>
      </c>
      <c r="G14">
        <f t="shared" si="3"/>
        <v>-0.96116878123798344</v>
      </c>
      <c r="H14">
        <f t="shared" si="0"/>
        <v>1049.0196078431372</v>
      </c>
    </row>
    <row r="15" spans="1:8" x14ac:dyDescent="0.2">
      <c r="D15" s="7">
        <v>4</v>
      </c>
      <c r="E15">
        <f>E14+B3</f>
        <v>1070</v>
      </c>
      <c r="F15">
        <f t="shared" si="2"/>
        <v>20.980392156862745</v>
      </c>
      <c r="G15">
        <f t="shared" si="3"/>
        <v>1049.0196078431372</v>
      </c>
      <c r="H15">
        <f t="shared" si="0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8" enableFormatConditionsCalculation="0"/>
  <dimension ref="A1:G43"/>
  <sheetViews>
    <sheetView workbookViewId="0">
      <selection activeCell="F30" sqref="F30"/>
    </sheetView>
  </sheetViews>
  <sheetFormatPr baseColWidth="10" defaultRowHeight="16" x14ac:dyDescent="0.2"/>
  <cols>
    <col min="1" max="1" width="7" customWidth="1"/>
    <col min="2" max="2" width="14.83203125" style="65" customWidth="1"/>
    <col min="3" max="3" width="15.6640625" style="65" customWidth="1"/>
    <col min="4" max="4" width="18" style="5" customWidth="1"/>
    <col min="5" max="5" width="15.5" customWidth="1"/>
    <col min="6" max="6" width="14.1640625" customWidth="1"/>
  </cols>
  <sheetData>
    <row r="1" spans="1:6" ht="17" thickBot="1" x14ac:dyDescent="0.25">
      <c r="A1" s="73" t="s">
        <v>58</v>
      </c>
      <c r="B1" s="74" t="s">
        <v>59</v>
      </c>
      <c r="C1" s="75" t="s">
        <v>60</v>
      </c>
      <c r="D1" s="80" t="s">
        <v>61</v>
      </c>
      <c r="F1" s="79"/>
    </row>
    <row r="2" spans="1:6" x14ac:dyDescent="0.2">
      <c r="A2" s="76">
        <v>1</v>
      </c>
      <c r="B2" s="68">
        <v>0.01</v>
      </c>
      <c r="C2" s="71">
        <f>B2</f>
        <v>0.01</v>
      </c>
      <c r="D2" s="66">
        <f>100*(1+B2)^(-A2)</f>
        <v>99.009900990099013</v>
      </c>
    </row>
    <row r="3" spans="1:6" x14ac:dyDescent="0.2">
      <c r="A3" s="76">
        <v>2</v>
      </c>
      <c r="B3" s="69">
        <v>0.02</v>
      </c>
      <c r="C3" s="71">
        <f>(((1+B3)^A3)/((1+B2)^A2))-1</f>
        <v>3.0099009900990126E-2</v>
      </c>
      <c r="D3" s="66">
        <f t="shared" ref="D3:D11" si="0">100*(1+B3)^(-A3)</f>
        <v>96.116878123798543</v>
      </c>
    </row>
    <row r="4" spans="1:6" x14ac:dyDescent="0.2">
      <c r="A4" s="76">
        <v>3</v>
      </c>
      <c r="B4" s="69">
        <v>0.03</v>
      </c>
      <c r="C4" s="71">
        <f t="shared" ref="C4:C11" si="1">(((1+B4)^A4)/((1+B3)^A3))-1</f>
        <v>5.0295078815840055E-2</v>
      </c>
      <c r="D4" s="66">
        <f t="shared" si="0"/>
        <v>91.514165935315958</v>
      </c>
    </row>
    <row r="5" spans="1:6" x14ac:dyDescent="0.2">
      <c r="A5" s="76">
        <v>4</v>
      </c>
      <c r="B5" s="69">
        <v>0.04</v>
      </c>
      <c r="C5" s="71">
        <f t="shared" si="1"/>
        <v>7.0586303806897899E-2</v>
      </c>
      <c r="D5" s="66">
        <f t="shared" si="0"/>
        <v>85.480419102972576</v>
      </c>
    </row>
    <row r="6" spans="1:6" x14ac:dyDescent="0.2">
      <c r="A6" s="76">
        <v>5</v>
      </c>
      <c r="B6" s="69">
        <v>0.05</v>
      </c>
      <c r="C6" s="71">
        <f t="shared" si="1"/>
        <v>9.0970828558966987E-2</v>
      </c>
      <c r="D6" s="66">
        <f t="shared" si="0"/>
        <v>78.352616646845902</v>
      </c>
    </row>
    <row r="7" spans="1:6" x14ac:dyDescent="0.2">
      <c r="A7" s="76">
        <v>6</v>
      </c>
      <c r="B7" s="69">
        <v>0.06</v>
      </c>
      <c r="C7" s="71">
        <f t="shared" si="1"/>
        <v>0.11144684208818578</v>
      </c>
      <c r="D7" s="66">
        <f t="shared" si="0"/>
        <v>70.496054043967632</v>
      </c>
    </row>
    <row r="8" spans="1:6" x14ac:dyDescent="0.2">
      <c r="A8" s="76">
        <v>7</v>
      </c>
      <c r="B8" s="69">
        <v>7.0000000000000007E-2</v>
      </c>
      <c r="C8" s="71">
        <f t="shared" si="1"/>
        <v>0.1320125774862555</v>
      </c>
      <c r="D8" s="66">
        <f t="shared" si="0"/>
        <v>62.274974188459112</v>
      </c>
    </row>
    <row r="9" spans="1:6" x14ac:dyDescent="0.2">
      <c r="A9" s="76">
        <v>8</v>
      </c>
      <c r="B9" s="69">
        <v>0.08</v>
      </c>
      <c r="C9" s="71">
        <f t="shared" si="1"/>
        <v>0.15266631069943415</v>
      </c>
      <c r="D9" s="66">
        <f t="shared" si="0"/>
        <v>54.026888450197575</v>
      </c>
    </row>
    <row r="10" spans="1:6" x14ac:dyDescent="0.2">
      <c r="A10" s="76">
        <v>9</v>
      </c>
      <c r="B10" s="69">
        <v>0.09</v>
      </c>
      <c r="C10" s="71">
        <f t="shared" si="1"/>
        <v>0.17340635934163506</v>
      </c>
      <c r="D10" s="66">
        <f t="shared" si="0"/>
        <v>46.0427779516301</v>
      </c>
    </row>
    <row r="11" spans="1:6" x14ac:dyDescent="0.2">
      <c r="A11" s="76">
        <v>10</v>
      </c>
      <c r="B11" s="69">
        <v>0.1</v>
      </c>
      <c r="C11" s="71">
        <f t="shared" si="1"/>
        <v>0.19423108154099178</v>
      </c>
      <c r="D11" s="66">
        <f t="shared" si="0"/>
        <v>38.554328942953148</v>
      </c>
    </row>
    <row r="12" spans="1:6" x14ac:dyDescent="0.2">
      <c r="A12" s="76">
        <v>11</v>
      </c>
      <c r="B12" s="69">
        <v>0.1</v>
      </c>
      <c r="C12" s="71">
        <f t="shared" ref="C12:C21" si="2">(((1+B12)^A12)/((1+B11)^A11))-1</f>
        <v>0.10000000000000009</v>
      </c>
      <c r="D12" s="66">
        <f t="shared" ref="D12:D21" si="3">100*(1+B12)^(-A12)</f>
        <v>35.049389948139222</v>
      </c>
    </row>
    <row r="13" spans="1:6" x14ac:dyDescent="0.2">
      <c r="A13" s="76">
        <v>12</v>
      </c>
      <c r="B13" s="69">
        <v>0.1</v>
      </c>
      <c r="C13" s="71">
        <f t="shared" si="2"/>
        <v>9.9999999999999867E-2</v>
      </c>
      <c r="D13" s="66">
        <f t="shared" si="3"/>
        <v>31.863081771035656</v>
      </c>
    </row>
    <row r="14" spans="1:6" x14ac:dyDescent="0.2">
      <c r="A14" s="76">
        <v>13</v>
      </c>
      <c r="B14" s="69">
        <v>0.1</v>
      </c>
      <c r="C14" s="71">
        <f t="shared" si="2"/>
        <v>0.10000000000000009</v>
      </c>
      <c r="D14" s="66">
        <f t="shared" si="3"/>
        <v>28.966437973668778</v>
      </c>
    </row>
    <row r="15" spans="1:6" x14ac:dyDescent="0.2">
      <c r="A15" s="76">
        <v>14</v>
      </c>
      <c r="B15" s="69">
        <v>0.1</v>
      </c>
      <c r="C15" s="71">
        <f t="shared" si="2"/>
        <v>0.10000000000000031</v>
      </c>
      <c r="D15" s="66">
        <f t="shared" si="3"/>
        <v>26.333125430607971</v>
      </c>
    </row>
    <row r="16" spans="1:6" x14ac:dyDescent="0.2">
      <c r="A16" s="76">
        <v>15</v>
      </c>
      <c r="B16" s="69">
        <v>0.15</v>
      </c>
      <c r="C16" s="71">
        <f t="shared" si="2"/>
        <v>1.1427426451731861</v>
      </c>
      <c r="D16" s="66">
        <f t="shared" si="3"/>
        <v>12.28944852053365</v>
      </c>
    </row>
    <row r="17" spans="1:7" x14ac:dyDescent="0.2">
      <c r="A17" s="76">
        <v>16</v>
      </c>
      <c r="B17" s="69">
        <v>0.154</v>
      </c>
      <c r="C17" s="71">
        <f t="shared" si="2"/>
        <v>0.21569697433013646</v>
      </c>
      <c r="D17" s="66">
        <f t="shared" si="3"/>
        <v>10.108973518919287</v>
      </c>
    </row>
    <row r="18" spans="1:7" x14ac:dyDescent="0.2">
      <c r="A18" s="76">
        <v>17</v>
      </c>
      <c r="B18" s="69">
        <v>0.1</v>
      </c>
      <c r="C18" s="71">
        <f t="shared" si="2"/>
        <v>-0.48904493736841914</v>
      </c>
      <c r="D18" s="66">
        <f t="shared" si="3"/>
        <v>19.784466890013501</v>
      </c>
    </row>
    <row r="19" spans="1:7" x14ac:dyDescent="0.2">
      <c r="A19" s="76">
        <v>18</v>
      </c>
      <c r="B19" s="69">
        <v>0.1</v>
      </c>
      <c r="C19" s="71">
        <f t="shared" si="2"/>
        <v>0.10000000000000009</v>
      </c>
      <c r="D19" s="66">
        <f>100*(1+B19)^(-A19)</f>
        <v>17.985878990921364</v>
      </c>
    </row>
    <row r="20" spans="1:7" x14ac:dyDescent="0.2">
      <c r="A20" s="76">
        <v>19</v>
      </c>
      <c r="B20" s="69">
        <v>0.1</v>
      </c>
      <c r="C20" s="71">
        <f t="shared" si="2"/>
        <v>0.10000000000000031</v>
      </c>
      <c r="D20" s="66">
        <f t="shared" si="3"/>
        <v>16.350799082655783</v>
      </c>
    </row>
    <row r="21" spans="1:7" ht="17" thickBot="1" x14ac:dyDescent="0.25">
      <c r="A21" s="77">
        <v>20</v>
      </c>
      <c r="B21" s="70">
        <v>0.1</v>
      </c>
      <c r="C21" s="72">
        <f t="shared" si="2"/>
        <v>9.9999999999999867E-2</v>
      </c>
      <c r="D21" s="67">
        <f t="shared" si="3"/>
        <v>14.86436280241435</v>
      </c>
    </row>
    <row r="22" spans="1:7" ht="17" thickBot="1" x14ac:dyDescent="0.25"/>
    <row r="23" spans="1:7" ht="17" thickBot="1" x14ac:dyDescent="0.25">
      <c r="A23" s="73" t="s">
        <v>58</v>
      </c>
      <c r="B23" s="74" t="s">
        <v>59</v>
      </c>
      <c r="C23" s="75" t="s">
        <v>60</v>
      </c>
      <c r="D23" s="81" t="s">
        <v>62</v>
      </c>
      <c r="F23" s="78"/>
    </row>
    <row r="24" spans="1:7" x14ac:dyDescent="0.2">
      <c r="A24" s="76">
        <v>1</v>
      </c>
      <c r="B24" s="68">
        <v>0.01</v>
      </c>
      <c r="C24" s="71">
        <v>0.01</v>
      </c>
      <c r="D24" s="66"/>
      <c r="G24" s="6"/>
    </row>
    <row r="25" spans="1:7" x14ac:dyDescent="0.2">
      <c r="A25" s="76">
        <v>2</v>
      </c>
      <c r="B25" s="69">
        <v>0.02</v>
      </c>
      <c r="C25" s="71">
        <v>3.0099009900990126E-2</v>
      </c>
      <c r="D25" s="66"/>
      <c r="G25" s="5"/>
    </row>
    <row r="26" spans="1:7" x14ac:dyDescent="0.2">
      <c r="A26" s="76">
        <v>3</v>
      </c>
      <c r="B26" s="69">
        <v>0.03</v>
      </c>
      <c r="C26" s="71">
        <v>5.0295078815840055E-2</v>
      </c>
      <c r="D26" s="66"/>
    </row>
    <row r="27" spans="1:7" x14ac:dyDescent="0.2">
      <c r="A27" s="76">
        <v>4</v>
      </c>
      <c r="B27" s="69">
        <v>0.04</v>
      </c>
      <c r="C27" s="71">
        <v>7.0586303806897899E-2</v>
      </c>
      <c r="D27" s="66"/>
    </row>
    <row r="28" spans="1:7" x14ac:dyDescent="0.2">
      <c r="A28" s="76">
        <v>5</v>
      </c>
      <c r="B28" s="69">
        <v>0.05</v>
      </c>
      <c r="C28" s="71">
        <v>9.0970828558966987E-2</v>
      </c>
      <c r="D28" s="66"/>
    </row>
    <row r="29" spans="1:7" x14ac:dyDescent="0.2">
      <c r="A29" s="76">
        <v>6</v>
      </c>
      <c r="B29" s="69">
        <v>0.06</v>
      </c>
      <c r="C29" s="71">
        <v>0.11144684208818578</v>
      </c>
      <c r="D29" s="66"/>
    </row>
    <row r="30" spans="1:7" x14ac:dyDescent="0.2">
      <c r="A30" s="76">
        <v>7</v>
      </c>
      <c r="B30" s="69">
        <v>7.0000000000000007E-2</v>
      </c>
      <c r="C30" s="71">
        <v>0.1320125774862555</v>
      </c>
      <c r="D30" s="66"/>
    </row>
    <row r="31" spans="1:7" x14ac:dyDescent="0.2">
      <c r="A31" s="76">
        <v>8</v>
      </c>
      <c r="B31" s="69">
        <v>0.08</v>
      </c>
      <c r="C31" s="71">
        <v>0.15266631069943415</v>
      </c>
      <c r="D31" s="66"/>
    </row>
    <row r="32" spans="1:7" x14ac:dyDescent="0.2">
      <c r="A32" s="76">
        <v>9</v>
      </c>
      <c r="B32" s="69">
        <v>0.09</v>
      </c>
      <c r="C32" s="71">
        <v>0.17340635934163506</v>
      </c>
      <c r="D32" s="66"/>
    </row>
    <row r="33" spans="1:4" x14ac:dyDescent="0.2">
      <c r="A33" s="76">
        <v>10</v>
      </c>
      <c r="B33" s="69">
        <v>0.1</v>
      </c>
      <c r="C33" s="71">
        <v>0.19423108154099178</v>
      </c>
      <c r="D33" s="66"/>
    </row>
    <row r="34" spans="1:4" x14ac:dyDescent="0.2">
      <c r="A34" s="76">
        <v>11</v>
      </c>
      <c r="B34" s="69">
        <v>0.1</v>
      </c>
      <c r="C34" s="71">
        <v>0.10000000000000009</v>
      </c>
      <c r="D34" s="66"/>
    </row>
    <row r="35" spans="1:4" x14ac:dyDescent="0.2">
      <c r="A35" s="76">
        <v>12</v>
      </c>
      <c r="B35" s="69">
        <v>0.1</v>
      </c>
      <c r="C35" s="71">
        <v>9.9999999999999867E-2</v>
      </c>
      <c r="D35" s="66"/>
    </row>
    <row r="36" spans="1:4" x14ac:dyDescent="0.2">
      <c r="A36" s="76">
        <v>13</v>
      </c>
      <c r="B36" s="69">
        <v>0.1</v>
      </c>
      <c r="C36" s="71">
        <v>0.10000000000000009</v>
      </c>
      <c r="D36" s="66"/>
    </row>
    <row r="37" spans="1:4" x14ac:dyDescent="0.2">
      <c r="A37" s="76">
        <v>14</v>
      </c>
      <c r="B37" s="69">
        <v>0.1</v>
      </c>
      <c r="C37" s="71">
        <v>0.10000000000000031</v>
      </c>
      <c r="D37" s="66"/>
    </row>
    <row r="38" spans="1:4" x14ac:dyDescent="0.2">
      <c r="A38" s="76">
        <v>15</v>
      </c>
      <c r="B38" s="69">
        <v>0.15</v>
      </c>
      <c r="C38" s="71">
        <v>1.1427426451731861</v>
      </c>
      <c r="D38" s="66"/>
    </row>
    <row r="39" spans="1:4" x14ac:dyDescent="0.2">
      <c r="A39" s="76">
        <v>16</v>
      </c>
      <c r="B39" s="69">
        <v>0.154</v>
      </c>
      <c r="C39" s="71">
        <v>0.21569697433013646</v>
      </c>
      <c r="D39" s="66"/>
    </row>
    <row r="40" spans="1:4" x14ac:dyDescent="0.2">
      <c r="A40" s="76">
        <v>17</v>
      </c>
      <c r="B40" s="69">
        <v>0.1</v>
      </c>
      <c r="C40" s="71">
        <v>-0.48904493736841914</v>
      </c>
      <c r="D40" s="66"/>
    </row>
    <row r="41" spans="1:4" x14ac:dyDescent="0.2">
      <c r="A41" s="76">
        <v>18</v>
      </c>
      <c r="B41" s="69">
        <v>0.1</v>
      </c>
      <c r="C41" s="71">
        <v>0.10000000000000009</v>
      </c>
      <c r="D41" s="66"/>
    </row>
    <row r="42" spans="1:4" x14ac:dyDescent="0.2">
      <c r="A42" s="76">
        <v>19</v>
      </c>
      <c r="B42" s="69">
        <v>0.1</v>
      </c>
      <c r="C42" s="71">
        <v>0.10000000000000031</v>
      </c>
      <c r="D42" s="66"/>
    </row>
    <row r="43" spans="1:4" ht="17" thickBot="1" x14ac:dyDescent="0.25">
      <c r="A43" s="77">
        <v>20</v>
      </c>
      <c r="B43" s="70">
        <v>0.1</v>
      </c>
      <c r="C43" s="72">
        <v>9.9999999999999867E-2</v>
      </c>
      <c r="D43" s="67"/>
    </row>
  </sheetData>
  <phoneticPr fontId="10" type="noConversion"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9" enableFormatConditionsCalculation="0"/>
  <dimension ref="A1:F1041"/>
  <sheetViews>
    <sheetView zoomScale="139" workbookViewId="0">
      <selection activeCell="B2" sqref="B2"/>
    </sheetView>
  </sheetViews>
  <sheetFormatPr baseColWidth="10" defaultColWidth="0" defaultRowHeight="16" x14ac:dyDescent="0.2"/>
  <cols>
    <col min="1" max="1" width="21.1640625" customWidth="1"/>
    <col min="2" max="3" width="10.83203125" customWidth="1"/>
    <col min="4" max="4" width="10.83203125" style="65" customWidth="1"/>
    <col min="5" max="6" width="19" customWidth="1"/>
    <col min="7" max="16384" width="10.83203125" hidden="1"/>
  </cols>
  <sheetData>
    <row r="1" spans="1:6" ht="17" thickBot="1" x14ac:dyDescent="0.25">
      <c r="A1" s="121" t="s">
        <v>65</v>
      </c>
      <c r="B1" s="26"/>
      <c r="C1" s="26"/>
      <c r="D1" s="26"/>
      <c r="E1" s="97" t="s">
        <v>78</v>
      </c>
    </row>
    <row r="2" spans="1:6" x14ac:dyDescent="0.2">
      <c r="A2" s="26" t="s">
        <v>66</v>
      </c>
      <c r="B2" s="123">
        <v>100</v>
      </c>
      <c r="C2" s="26"/>
      <c r="D2" s="132"/>
      <c r="E2" s="127" t="s">
        <v>74</v>
      </c>
      <c r="F2" s="126">
        <f>SUM(E11:E1048576)</f>
        <v>23.357539362848147</v>
      </c>
    </row>
    <row r="3" spans="1:6" x14ac:dyDescent="0.2">
      <c r="A3" s="26" t="s">
        <v>8</v>
      </c>
      <c r="B3" s="124">
        <v>100</v>
      </c>
      <c r="C3" s="26"/>
      <c r="D3" s="26"/>
      <c r="E3" s="127" t="s">
        <v>79</v>
      </c>
      <c r="F3" s="126">
        <f>F2/(1+$C$6)</f>
        <v>23.241332699351393</v>
      </c>
    </row>
    <row r="4" spans="1:6" x14ac:dyDescent="0.2">
      <c r="A4" s="122" t="s">
        <v>68</v>
      </c>
      <c r="B4" s="100" t="s">
        <v>82</v>
      </c>
      <c r="C4" s="122"/>
      <c r="D4" s="26"/>
      <c r="E4" s="127" t="s">
        <v>77</v>
      </c>
      <c r="F4" s="126">
        <f>SUM(F11:F1048576)</f>
        <v>633.66914476908221</v>
      </c>
    </row>
    <row r="5" spans="1:6" x14ac:dyDescent="0.2">
      <c r="A5" s="122" t="s">
        <v>6</v>
      </c>
      <c r="B5" s="98">
        <v>0.05</v>
      </c>
      <c r="C5" s="128">
        <f>IF($B$4="annual",B5,B5/2)</f>
        <v>2.5000000000000001E-2</v>
      </c>
      <c r="D5" s="26"/>
      <c r="E5" s="127" t="s">
        <v>80</v>
      </c>
      <c r="F5" s="126">
        <f>(F4+F2)/(1+$C$6)^2</f>
        <v>650.50536781953963</v>
      </c>
    </row>
    <row r="6" spans="1:6" x14ac:dyDescent="0.2">
      <c r="A6" s="122" t="s">
        <v>67</v>
      </c>
      <c r="B6" s="98">
        <v>0.01</v>
      </c>
      <c r="C6" s="129">
        <f>IF($B$4="annual",B6,B6/2)</f>
        <v>5.0000000000000001E-3</v>
      </c>
      <c r="D6" s="26"/>
      <c r="E6" s="26"/>
      <c r="F6" s="26"/>
    </row>
    <row r="7" spans="1:6" ht="17" thickBot="1" x14ac:dyDescent="0.25">
      <c r="A7" s="122" t="s">
        <v>69</v>
      </c>
      <c r="B7" s="99">
        <v>15</v>
      </c>
      <c r="C7" s="130">
        <f>IF($B$4="annual",B7,B7*2)</f>
        <v>30</v>
      </c>
      <c r="D7" s="26"/>
    </row>
    <row r="8" spans="1:6" x14ac:dyDescent="0.2">
      <c r="A8" s="121" t="s">
        <v>81</v>
      </c>
      <c r="B8" s="26"/>
      <c r="C8" s="26"/>
      <c r="D8" s="26"/>
    </row>
    <row r="9" spans="1:6" x14ac:dyDescent="0.2">
      <c r="A9" s="120" t="s">
        <v>73</v>
      </c>
      <c r="B9" s="140">
        <f>IFERROR(($B$2*$C$5-$B$3*$C$6)*((1-(1+$C$6)^(-$C$7))/$C$6)+$B$3,"")</f>
        <v>155.58810793020587</v>
      </c>
      <c r="C9" s="141"/>
      <c r="D9" s="142"/>
      <c r="E9" s="101" t="s">
        <v>74</v>
      </c>
      <c r="F9" s="102" t="s">
        <v>77</v>
      </c>
    </row>
    <row r="10" spans="1:6" x14ac:dyDescent="0.2">
      <c r="A10" s="112" t="s">
        <v>14</v>
      </c>
      <c r="B10" s="109" t="s">
        <v>70</v>
      </c>
      <c r="C10" s="110" t="s">
        <v>71</v>
      </c>
      <c r="D10" s="111" t="s">
        <v>72</v>
      </c>
      <c r="E10" s="109" t="s">
        <v>75</v>
      </c>
      <c r="F10" s="111" t="s">
        <v>76</v>
      </c>
    </row>
    <row r="11" spans="1:6" x14ac:dyDescent="0.2">
      <c r="A11" s="113">
        <v>1</v>
      </c>
      <c r="B11" s="116">
        <v>2.5</v>
      </c>
      <c r="C11" s="117">
        <f t="shared" ref="C11:C40" si="0">B11*(1+$C$6)^(-A11)</f>
        <v>2.4875621890547266</v>
      </c>
      <c r="D11" s="118">
        <f t="shared" ref="D11:D40" si="1">C11/price</f>
        <v>1.5988125456031666E-2</v>
      </c>
      <c r="E11" s="103">
        <f t="shared" ref="E11:E40" si="2">A11*D11</f>
        <v>1.5988125456031666E-2</v>
      </c>
      <c r="F11" s="104">
        <f t="shared" ref="F11:F40" si="3">(A11^2)*D11</f>
        <v>1.5988125456031666E-2</v>
      </c>
    </row>
    <row r="12" spans="1:6" x14ac:dyDescent="0.2">
      <c r="A12" s="113">
        <v>2</v>
      </c>
      <c r="B12" s="116">
        <v>2.5</v>
      </c>
      <c r="C12" s="117">
        <f t="shared" si="0"/>
        <v>2.4751862577658974</v>
      </c>
      <c r="D12" s="118">
        <f t="shared" si="1"/>
        <v>1.5908582543315092E-2</v>
      </c>
      <c r="E12" s="103">
        <f t="shared" si="2"/>
        <v>3.1817165086630184E-2</v>
      </c>
      <c r="F12" s="104">
        <f t="shared" si="3"/>
        <v>6.3634330173260367E-2</v>
      </c>
    </row>
    <row r="13" spans="1:6" x14ac:dyDescent="0.2">
      <c r="A13" s="113">
        <v>3</v>
      </c>
      <c r="B13" s="116">
        <v>2.5</v>
      </c>
      <c r="C13" s="117">
        <f t="shared" si="0"/>
        <v>2.4628718982745252</v>
      </c>
      <c r="D13" s="118">
        <f t="shared" si="1"/>
        <v>1.582943536648268E-2</v>
      </c>
      <c r="E13" s="103">
        <f t="shared" si="2"/>
        <v>4.7488306099448041E-2</v>
      </c>
      <c r="F13" s="104">
        <f t="shared" si="3"/>
        <v>0.14246491829834412</v>
      </c>
    </row>
    <row r="14" spans="1:6" x14ac:dyDescent="0.2">
      <c r="A14" s="113">
        <v>4</v>
      </c>
      <c r="B14" s="116">
        <v>2.5</v>
      </c>
      <c r="C14" s="117">
        <f t="shared" si="0"/>
        <v>2.4506188042532595</v>
      </c>
      <c r="D14" s="118">
        <f t="shared" si="1"/>
        <v>1.5750681956699188E-2</v>
      </c>
      <c r="E14" s="103">
        <f t="shared" si="2"/>
        <v>6.3002727826796751E-2</v>
      </c>
      <c r="F14" s="104">
        <f t="shared" si="3"/>
        <v>0.252010911307187</v>
      </c>
    </row>
    <row r="15" spans="1:6" x14ac:dyDescent="0.2">
      <c r="A15" s="113">
        <v>5</v>
      </c>
      <c r="B15" s="116">
        <v>2.5</v>
      </c>
      <c r="C15" s="117">
        <f t="shared" si="0"/>
        <v>2.4384266708987661</v>
      </c>
      <c r="D15" s="118">
        <f t="shared" si="1"/>
        <v>1.5672320354924569E-2</v>
      </c>
      <c r="E15" s="103">
        <f t="shared" si="2"/>
        <v>7.8361601774622841E-2</v>
      </c>
      <c r="F15" s="104">
        <f t="shared" si="3"/>
        <v>0.39180800887311423</v>
      </c>
    </row>
    <row r="16" spans="1:6" x14ac:dyDescent="0.2">
      <c r="A16" s="114">
        <v>6</v>
      </c>
      <c r="B16" s="116">
        <v>2.5</v>
      </c>
      <c r="C16" s="117">
        <f t="shared" si="0"/>
        <v>2.4262951949241458</v>
      </c>
      <c r="D16" s="118">
        <f t="shared" si="1"/>
        <v>1.5594348611865245E-2</v>
      </c>
      <c r="E16" s="105">
        <f t="shared" si="2"/>
        <v>9.3566091671191468E-2</v>
      </c>
      <c r="F16" s="106">
        <f t="shared" si="3"/>
        <v>0.56139655002714883</v>
      </c>
    </row>
    <row r="17" spans="1:6" x14ac:dyDescent="0.2">
      <c r="A17" s="113">
        <v>7</v>
      </c>
      <c r="B17" s="116">
        <v>2.5</v>
      </c>
      <c r="C17" s="117">
        <f t="shared" si="0"/>
        <v>2.414224074551389</v>
      </c>
      <c r="D17" s="118">
        <f t="shared" si="1"/>
        <v>1.5516764787925618E-2</v>
      </c>
      <c r="E17" s="103">
        <f t="shared" si="2"/>
        <v>0.10861735351547933</v>
      </c>
      <c r="F17" s="104">
        <f t="shared" si="3"/>
        <v>0.76032147460835531</v>
      </c>
    </row>
    <row r="18" spans="1:6" x14ac:dyDescent="0.2">
      <c r="A18" s="113">
        <v>8</v>
      </c>
      <c r="B18" s="116">
        <v>2.5</v>
      </c>
      <c r="C18" s="117">
        <f t="shared" si="0"/>
        <v>2.4022130095038698</v>
      </c>
      <c r="D18" s="118">
        <f t="shared" si="1"/>
        <v>1.543956695315982E-2</v>
      </c>
      <c r="E18" s="103">
        <f t="shared" si="2"/>
        <v>0.12351653562527856</v>
      </c>
      <c r="F18" s="104">
        <f t="shared" si="3"/>
        <v>0.98813228500222849</v>
      </c>
    </row>
    <row r="19" spans="1:6" x14ac:dyDescent="0.2">
      <c r="A19" s="113">
        <v>9</v>
      </c>
      <c r="B19" s="116">
        <v>2.5</v>
      </c>
      <c r="C19" s="117">
        <f t="shared" si="0"/>
        <v>2.3902617009988756</v>
      </c>
      <c r="D19" s="118">
        <f t="shared" si="1"/>
        <v>1.5362753187223703E-2</v>
      </c>
      <c r="E19" s="103">
        <f t="shared" si="2"/>
        <v>0.13826477868501333</v>
      </c>
      <c r="F19" s="104">
        <f t="shared" si="3"/>
        <v>1.2443830081651199</v>
      </c>
    </row>
    <row r="20" spans="1:6" x14ac:dyDescent="0.2">
      <c r="A20" s="113">
        <v>10</v>
      </c>
      <c r="B20" s="116">
        <v>2.5</v>
      </c>
      <c r="C20" s="117">
        <f t="shared" si="0"/>
        <v>2.3783698517401755</v>
      </c>
      <c r="D20" s="118">
        <f t="shared" si="1"/>
        <v>1.5286321579327073E-2</v>
      </c>
      <c r="E20" s="103">
        <f t="shared" si="2"/>
        <v>0.15286321579327072</v>
      </c>
      <c r="F20" s="104">
        <f t="shared" si="3"/>
        <v>1.5286321579327073</v>
      </c>
    </row>
    <row r="21" spans="1:6" x14ac:dyDescent="0.2">
      <c r="A21" s="113">
        <v>11</v>
      </c>
      <c r="B21" s="116">
        <v>2.5</v>
      </c>
      <c r="C21" s="117">
        <f t="shared" si="0"/>
        <v>2.3665371659106222</v>
      </c>
      <c r="D21" s="118">
        <f t="shared" si="1"/>
        <v>1.521027022818614E-2</v>
      </c>
      <c r="E21" s="103">
        <f t="shared" si="2"/>
        <v>0.16731297251004754</v>
      </c>
      <c r="F21" s="104">
        <f t="shared" si="3"/>
        <v>1.8404426976105228</v>
      </c>
    </row>
    <row r="22" spans="1:6" x14ac:dyDescent="0.2">
      <c r="A22" s="113">
        <v>12</v>
      </c>
      <c r="B22" s="116">
        <v>2.5</v>
      </c>
      <c r="C22" s="117">
        <f t="shared" si="0"/>
        <v>2.3547633491647995</v>
      </c>
      <c r="D22" s="118">
        <f t="shared" si="1"/>
        <v>1.5134597241976267E-2</v>
      </c>
      <c r="E22" s="103">
        <f t="shared" si="2"/>
        <v>0.18161516690371521</v>
      </c>
      <c r="F22" s="104">
        <f t="shared" si="3"/>
        <v>2.1793820028445823</v>
      </c>
    </row>
    <row r="23" spans="1:6" x14ac:dyDescent="0.2">
      <c r="A23" s="113">
        <v>13</v>
      </c>
      <c r="B23" s="116">
        <v>2.5</v>
      </c>
      <c r="C23" s="117">
        <f t="shared" si="0"/>
        <v>2.3430481086216908</v>
      </c>
      <c r="D23" s="118">
        <f t="shared" si="1"/>
        <v>1.5059300738284841E-2</v>
      </c>
      <c r="E23" s="103">
        <f t="shared" si="2"/>
        <v>0.19577090959770294</v>
      </c>
      <c r="F23" s="104">
        <f t="shared" si="3"/>
        <v>2.5450218247701382</v>
      </c>
    </row>
    <row r="24" spans="1:6" x14ac:dyDescent="0.2">
      <c r="A24" s="113">
        <v>14</v>
      </c>
      <c r="B24" s="116">
        <v>2.5</v>
      </c>
      <c r="C24" s="117">
        <f t="shared" si="0"/>
        <v>2.3313911528574045</v>
      </c>
      <c r="D24" s="118">
        <f t="shared" si="1"/>
        <v>1.4984378844064524E-2</v>
      </c>
      <c r="E24" s="103">
        <f t="shared" si="2"/>
        <v>0.20978130381690335</v>
      </c>
      <c r="F24" s="104">
        <f t="shared" si="3"/>
        <v>2.9369382534366468</v>
      </c>
    </row>
    <row r="25" spans="1:6" x14ac:dyDescent="0.2">
      <c r="A25" s="113">
        <v>15</v>
      </c>
      <c r="B25" s="116">
        <v>2.5</v>
      </c>
      <c r="C25" s="117">
        <f t="shared" si="0"/>
        <v>2.3197921918979154</v>
      </c>
      <c r="D25" s="118">
        <f t="shared" si="1"/>
        <v>1.4909829695586593E-2</v>
      </c>
      <c r="E25" s="103">
        <f t="shared" si="2"/>
        <v>0.22364744543379889</v>
      </c>
      <c r="F25" s="104">
        <f t="shared" si="3"/>
        <v>3.3547116815069833</v>
      </c>
    </row>
    <row r="26" spans="1:6" x14ac:dyDescent="0.2">
      <c r="A26" s="113">
        <v>16</v>
      </c>
      <c r="B26" s="116">
        <v>2.5</v>
      </c>
      <c r="C26" s="117">
        <f t="shared" si="0"/>
        <v>2.3082509372118563</v>
      </c>
      <c r="D26" s="118">
        <f t="shared" si="1"/>
        <v>1.4835651438394621E-2</v>
      </c>
      <c r="E26" s="103">
        <f t="shared" si="2"/>
        <v>0.23737042301431394</v>
      </c>
      <c r="F26" s="104">
        <f t="shared" si="3"/>
        <v>3.797926768229023</v>
      </c>
    </row>
    <row r="27" spans="1:6" x14ac:dyDescent="0.2">
      <c r="A27" s="113">
        <v>17</v>
      </c>
      <c r="B27" s="116">
        <v>2.5</v>
      </c>
      <c r="C27" s="117">
        <f t="shared" si="0"/>
        <v>2.29676710170334</v>
      </c>
      <c r="D27" s="118">
        <f t="shared" si="1"/>
        <v>1.4761842227258333E-2</v>
      </c>
      <c r="E27" s="103">
        <f t="shared" si="2"/>
        <v>0.25095131786339164</v>
      </c>
      <c r="F27" s="104">
        <f t="shared" si="3"/>
        <v>4.2661724036776585</v>
      </c>
    </row>
    <row r="28" spans="1:6" x14ac:dyDescent="0.2">
      <c r="A28" s="113">
        <v>18</v>
      </c>
      <c r="B28" s="116">
        <v>2.5</v>
      </c>
      <c r="C28" s="117">
        <f t="shared" si="0"/>
        <v>2.2853403997048165</v>
      </c>
      <c r="D28" s="118">
        <f t="shared" si="1"/>
        <v>1.4688400226127697E-2</v>
      </c>
      <c r="E28" s="103">
        <f t="shared" si="2"/>
        <v>0.26439120407029854</v>
      </c>
      <c r="F28" s="104">
        <f t="shared" si="3"/>
        <v>4.759041673265374</v>
      </c>
    </row>
    <row r="29" spans="1:6" x14ac:dyDescent="0.2">
      <c r="A29" s="113">
        <v>19</v>
      </c>
      <c r="B29" s="116">
        <v>2.5</v>
      </c>
      <c r="C29" s="117">
        <f t="shared" si="0"/>
        <v>2.2739705469699665</v>
      </c>
      <c r="D29" s="118">
        <f t="shared" si="1"/>
        <v>1.4615323608087261E-2</v>
      </c>
      <c r="E29" s="103">
        <f t="shared" si="2"/>
        <v>0.27769114855365795</v>
      </c>
      <c r="F29" s="104">
        <f t="shared" si="3"/>
        <v>5.2761318225195009</v>
      </c>
    </row>
    <row r="30" spans="1:6" x14ac:dyDescent="0.2">
      <c r="A30" s="113">
        <v>20</v>
      </c>
      <c r="B30" s="131">
        <v>2.5</v>
      </c>
      <c r="C30" s="117">
        <f t="shared" si="0"/>
        <v>2.2626572606666335</v>
      </c>
      <c r="D30" s="118">
        <f t="shared" si="1"/>
        <v>1.4542610555310708E-2</v>
      </c>
      <c r="E30" s="103">
        <f t="shared" si="2"/>
        <v>0.29085221110621418</v>
      </c>
      <c r="F30" s="104">
        <f t="shared" si="3"/>
        <v>5.8170442221242835</v>
      </c>
    </row>
    <row r="31" spans="1:6" x14ac:dyDescent="0.2">
      <c r="A31" s="113">
        <v>21</v>
      </c>
      <c r="B31" s="116">
        <v>2.5</v>
      </c>
      <c r="C31" s="117">
        <f t="shared" si="0"/>
        <v>2.2514002593697855</v>
      </c>
      <c r="D31" s="118">
        <f t="shared" si="1"/>
        <v>1.4470259259015636E-2</v>
      </c>
      <c r="E31" s="103">
        <f t="shared" si="2"/>
        <v>0.30387544443932835</v>
      </c>
      <c r="F31" s="104">
        <f t="shared" si="3"/>
        <v>6.3813843332258955</v>
      </c>
    </row>
    <row r="32" spans="1:6" x14ac:dyDescent="0.2">
      <c r="A32" s="113">
        <v>22</v>
      </c>
      <c r="B32" s="116">
        <v>2.5</v>
      </c>
      <c r="C32" s="117">
        <f t="shared" si="0"/>
        <v>2.2401992630545129</v>
      </c>
      <c r="D32" s="118">
        <f t="shared" si="1"/>
        <v>1.4398267919418542E-2</v>
      </c>
      <c r="E32" s="103">
        <f t="shared" si="2"/>
        <v>0.31676189422720791</v>
      </c>
      <c r="F32" s="104">
        <f t="shared" si="3"/>
        <v>6.9687616729985749</v>
      </c>
    </row>
    <row r="33" spans="1:6" x14ac:dyDescent="0.2">
      <c r="A33" s="113">
        <v>23</v>
      </c>
      <c r="B33" s="116">
        <v>2.5</v>
      </c>
      <c r="C33" s="117">
        <f t="shared" si="0"/>
        <v>2.2290539930890683</v>
      </c>
      <c r="D33" s="118">
        <f t="shared" si="1"/>
        <v>1.4326634745690098E-2</v>
      </c>
      <c r="E33" s="103">
        <f t="shared" si="2"/>
        <v>0.32951259915087228</v>
      </c>
      <c r="F33" s="104">
        <f t="shared" si="3"/>
        <v>7.5787897804700615</v>
      </c>
    </row>
    <row r="34" spans="1:6" x14ac:dyDescent="0.2">
      <c r="A34" s="113">
        <v>24</v>
      </c>
      <c r="B34" s="116">
        <v>2.5</v>
      </c>
      <c r="C34" s="117">
        <f t="shared" si="0"/>
        <v>2.2179641722279282</v>
      </c>
      <c r="D34" s="118">
        <f t="shared" si="1"/>
        <v>1.4255357955910541E-2</v>
      </c>
      <c r="E34" s="103">
        <f t="shared" si="2"/>
        <v>0.34212859094185299</v>
      </c>
      <c r="F34" s="104">
        <f t="shared" si="3"/>
        <v>8.2110861826044719</v>
      </c>
    </row>
    <row r="35" spans="1:6" x14ac:dyDescent="0.2">
      <c r="A35" s="113">
        <v>25</v>
      </c>
      <c r="B35" s="116">
        <v>2.5</v>
      </c>
      <c r="C35" s="117">
        <f t="shared" si="0"/>
        <v>2.2069295246049045</v>
      </c>
      <c r="D35" s="118">
        <f t="shared" si="1"/>
        <v>1.418443577702542E-2</v>
      </c>
      <c r="E35" s="103">
        <f t="shared" si="2"/>
        <v>0.35461089442563548</v>
      </c>
      <c r="F35" s="104">
        <f t="shared" si="3"/>
        <v>8.865272360640887</v>
      </c>
    </row>
    <row r="36" spans="1:6" x14ac:dyDescent="0.2">
      <c r="A36" s="113">
        <v>26</v>
      </c>
      <c r="B36" s="116">
        <v>2.5</v>
      </c>
      <c r="C36" s="117">
        <f t="shared" si="0"/>
        <v>2.1959497757262731</v>
      </c>
      <c r="D36" s="118">
        <f t="shared" si="1"/>
        <v>1.4113866444801412E-2</v>
      </c>
      <c r="E36" s="103">
        <f t="shared" si="2"/>
        <v>0.36696052756483671</v>
      </c>
      <c r="F36" s="104">
        <f t="shared" si="3"/>
        <v>9.5409737166857553</v>
      </c>
    </row>
    <row r="37" spans="1:6" x14ac:dyDescent="0.2">
      <c r="A37" s="113">
        <v>27</v>
      </c>
      <c r="B37" s="116">
        <v>2.5</v>
      </c>
      <c r="C37" s="117">
        <f t="shared" si="0"/>
        <v>2.1850246524639538</v>
      </c>
      <c r="D37" s="118">
        <f t="shared" si="1"/>
        <v>1.4043648203782504E-2</v>
      </c>
      <c r="E37" s="103">
        <f t="shared" si="2"/>
        <v>0.37917850150212762</v>
      </c>
      <c r="F37" s="104">
        <f t="shared" si="3"/>
        <v>10.237819540557446</v>
      </c>
    </row>
    <row r="38" spans="1:6" x14ac:dyDescent="0.2">
      <c r="A38" s="113">
        <v>28</v>
      </c>
      <c r="B38" s="116">
        <v>2.5</v>
      </c>
      <c r="C38" s="117">
        <f t="shared" si="0"/>
        <v>2.174153883048711</v>
      </c>
      <c r="D38" s="118">
        <f t="shared" si="1"/>
        <v>1.3973779307246277E-2</v>
      </c>
      <c r="E38" s="103">
        <f t="shared" si="2"/>
        <v>0.39126582060289578</v>
      </c>
      <c r="F38" s="104">
        <f t="shared" si="3"/>
        <v>10.955442976881082</v>
      </c>
    </row>
    <row r="39" spans="1:6" x14ac:dyDescent="0.2">
      <c r="A39" s="113">
        <v>29</v>
      </c>
      <c r="B39" s="116">
        <v>2.5</v>
      </c>
      <c r="C39" s="117">
        <f t="shared" si="0"/>
        <v>2.1633371970633943</v>
      </c>
      <c r="D39" s="118">
        <f t="shared" si="1"/>
        <v>1.3904258017160475E-2</v>
      </c>
      <c r="E39" s="103">
        <f t="shared" si="2"/>
        <v>0.40322348249765377</v>
      </c>
      <c r="F39" s="104">
        <f t="shared" si="3"/>
        <v>11.69348099243196</v>
      </c>
    </row>
    <row r="40" spans="1:6" x14ac:dyDescent="0.2">
      <c r="A40" s="113">
        <v>30</v>
      </c>
      <c r="B40" s="131">
        <v>102.5</v>
      </c>
      <c r="C40" s="117">
        <f t="shared" si="0"/>
        <v>88.255547342884753</v>
      </c>
      <c r="D40" s="118">
        <f t="shared" si="1"/>
        <v>0.56723838676973093</v>
      </c>
      <c r="E40" s="103">
        <f t="shared" si="2"/>
        <v>17.017151603091929</v>
      </c>
      <c r="F40" s="104">
        <f t="shared" si="3"/>
        <v>510.51454809275782</v>
      </c>
    </row>
    <row r="41" spans="1:6" x14ac:dyDescent="0.2">
      <c r="A41" s="113"/>
      <c r="B41" s="116"/>
      <c r="C41" s="117"/>
      <c r="D41" s="118"/>
      <c r="E41" s="103"/>
      <c r="F41" s="104"/>
    </row>
    <row r="42" spans="1:6" x14ac:dyDescent="0.2">
      <c r="A42" s="113"/>
      <c r="B42" s="116"/>
      <c r="C42" s="117"/>
      <c r="D42" s="118"/>
      <c r="E42" s="103"/>
      <c r="F42" s="104"/>
    </row>
    <row r="43" spans="1:6" x14ac:dyDescent="0.2">
      <c r="A43" s="113"/>
      <c r="B43" s="116"/>
      <c r="C43" s="117"/>
      <c r="D43" s="118"/>
      <c r="E43" s="103"/>
      <c r="F43" s="104"/>
    </row>
    <row r="44" spans="1:6" x14ac:dyDescent="0.2">
      <c r="A44" s="113"/>
      <c r="B44" s="116"/>
      <c r="C44" s="117"/>
      <c r="D44" s="118"/>
      <c r="E44" s="103"/>
      <c r="F44" s="104"/>
    </row>
    <row r="45" spans="1:6" x14ac:dyDescent="0.2">
      <c r="A45" s="113"/>
      <c r="B45" s="116"/>
      <c r="C45" s="117"/>
      <c r="D45" s="118"/>
      <c r="E45" s="103"/>
      <c r="F45" s="104"/>
    </row>
    <row r="46" spans="1:6" x14ac:dyDescent="0.2">
      <c r="A46" s="113"/>
      <c r="B46" s="116"/>
      <c r="C46" s="117"/>
      <c r="D46" s="118"/>
      <c r="E46" s="103"/>
      <c r="F46" s="104"/>
    </row>
    <row r="47" spans="1:6" x14ac:dyDescent="0.2">
      <c r="A47" s="113"/>
      <c r="B47" s="116"/>
      <c r="C47" s="117"/>
      <c r="D47" s="118"/>
      <c r="E47" s="103"/>
      <c r="F47" s="104"/>
    </row>
    <row r="48" spans="1:6" x14ac:dyDescent="0.2">
      <c r="A48" s="113"/>
      <c r="B48" s="116"/>
      <c r="C48" s="117"/>
      <c r="D48" s="118"/>
      <c r="E48" s="103"/>
      <c r="F48" s="104"/>
    </row>
    <row r="49" spans="1:6" x14ac:dyDescent="0.2">
      <c r="A49" s="113"/>
      <c r="B49" s="116"/>
      <c r="C49" s="117"/>
      <c r="D49" s="118"/>
      <c r="E49" s="103"/>
      <c r="F49" s="104"/>
    </row>
    <row r="50" spans="1:6" x14ac:dyDescent="0.2">
      <c r="A50" s="113"/>
      <c r="B50" s="116"/>
      <c r="C50" s="117"/>
      <c r="D50" s="118"/>
      <c r="E50" s="103"/>
      <c r="F50" s="104"/>
    </row>
    <row r="51" spans="1:6" x14ac:dyDescent="0.2">
      <c r="A51" s="113"/>
      <c r="B51" s="116"/>
      <c r="C51" s="117"/>
      <c r="D51" s="118"/>
      <c r="E51" s="103"/>
      <c r="F51" s="104"/>
    </row>
    <row r="52" spans="1:6" x14ac:dyDescent="0.2">
      <c r="A52" s="113"/>
      <c r="B52" s="116"/>
      <c r="C52" s="117"/>
      <c r="D52" s="118"/>
      <c r="E52" s="103"/>
      <c r="F52" s="104"/>
    </row>
    <row r="53" spans="1:6" x14ac:dyDescent="0.2">
      <c r="A53" s="113"/>
      <c r="B53" s="116"/>
      <c r="C53" s="117"/>
      <c r="D53" s="118"/>
      <c r="E53" s="103"/>
      <c r="F53" s="104"/>
    </row>
    <row r="54" spans="1:6" x14ac:dyDescent="0.2">
      <c r="A54" s="113"/>
      <c r="B54" s="116"/>
      <c r="C54" s="117"/>
      <c r="D54" s="118"/>
      <c r="E54" s="103"/>
      <c r="F54" s="104"/>
    </row>
    <row r="55" spans="1:6" x14ac:dyDescent="0.2">
      <c r="A55" s="113"/>
      <c r="B55" s="116"/>
      <c r="C55" s="117"/>
      <c r="D55" s="118"/>
      <c r="E55" s="103"/>
      <c r="F55" s="104"/>
    </row>
    <row r="56" spans="1:6" x14ac:dyDescent="0.2">
      <c r="A56" s="113"/>
      <c r="B56" s="116"/>
      <c r="C56" s="117"/>
      <c r="D56" s="118"/>
      <c r="E56" s="103"/>
      <c r="F56" s="104"/>
    </row>
    <row r="57" spans="1:6" x14ac:dyDescent="0.2">
      <c r="A57" s="113"/>
      <c r="B57" s="116"/>
      <c r="C57" s="117"/>
      <c r="D57" s="118"/>
      <c r="E57" s="103"/>
      <c r="F57" s="104"/>
    </row>
    <row r="58" spans="1:6" x14ac:dyDescent="0.2">
      <c r="A58" s="113"/>
      <c r="B58" s="116"/>
      <c r="C58" s="117"/>
      <c r="D58" s="118"/>
      <c r="E58" s="103"/>
      <c r="F58" s="104"/>
    </row>
    <row r="59" spans="1:6" x14ac:dyDescent="0.2">
      <c r="A59" s="113"/>
      <c r="B59" s="116"/>
      <c r="C59" s="117"/>
      <c r="D59" s="118"/>
      <c r="E59" s="103"/>
      <c r="F59" s="104"/>
    </row>
    <row r="60" spans="1:6" x14ac:dyDescent="0.2">
      <c r="A60" s="113"/>
      <c r="B60" s="116"/>
      <c r="C60" s="117"/>
      <c r="D60" s="118"/>
      <c r="E60" s="103"/>
      <c r="F60" s="104"/>
    </row>
    <row r="61" spans="1:6" x14ac:dyDescent="0.2">
      <c r="A61" s="113"/>
      <c r="B61" s="116"/>
      <c r="C61" s="117"/>
      <c r="D61" s="118"/>
      <c r="E61" s="103"/>
      <c r="F61" s="104"/>
    </row>
    <row r="62" spans="1:6" x14ac:dyDescent="0.2">
      <c r="A62" s="113"/>
      <c r="B62" s="116"/>
      <c r="C62" s="117"/>
      <c r="D62" s="118"/>
      <c r="E62" s="103"/>
      <c r="F62" s="104"/>
    </row>
    <row r="63" spans="1:6" x14ac:dyDescent="0.2">
      <c r="A63" s="113"/>
      <c r="B63" s="116"/>
      <c r="C63" s="117"/>
      <c r="D63" s="118"/>
      <c r="E63" s="103"/>
      <c r="F63" s="104"/>
    </row>
    <row r="64" spans="1:6" x14ac:dyDescent="0.2">
      <c r="A64" s="113"/>
      <c r="B64" s="116"/>
      <c r="C64" s="117"/>
      <c r="D64" s="118"/>
      <c r="E64" s="103"/>
      <c r="F64" s="104"/>
    </row>
    <row r="65" spans="1:6" x14ac:dyDescent="0.2">
      <c r="A65" s="113"/>
      <c r="B65" s="116"/>
      <c r="C65" s="117"/>
      <c r="D65" s="118"/>
      <c r="E65" s="103"/>
      <c r="F65" s="104"/>
    </row>
    <row r="66" spans="1:6" x14ac:dyDescent="0.2">
      <c r="A66" s="113"/>
      <c r="B66" s="116"/>
      <c r="C66" s="117"/>
      <c r="D66" s="118"/>
      <c r="E66" s="103"/>
      <c r="F66" s="104"/>
    </row>
    <row r="67" spans="1:6" x14ac:dyDescent="0.2">
      <c r="A67" s="113"/>
      <c r="B67" s="116"/>
      <c r="C67" s="117"/>
      <c r="D67" s="118"/>
      <c r="E67" s="103"/>
      <c r="F67" s="104"/>
    </row>
    <row r="68" spans="1:6" x14ac:dyDescent="0.2">
      <c r="A68" s="113"/>
      <c r="B68" s="116"/>
      <c r="C68" s="117"/>
      <c r="D68" s="118"/>
      <c r="E68" s="103"/>
      <c r="F68" s="104"/>
    </row>
    <row r="69" spans="1:6" x14ac:dyDescent="0.2">
      <c r="A69" s="113"/>
      <c r="B69" s="116"/>
      <c r="C69" s="117"/>
      <c r="D69" s="118"/>
      <c r="E69" s="103"/>
      <c r="F69" s="104"/>
    </row>
    <row r="70" spans="1:6" x14ac:dyDescent="0.2">
      <c r="A70" s="113"/>
      <c r="B70" s="116"/>
      <c r="C70" s="117"/>
      <c r="D70" s="118"/>
      <c r="E70" s="103"/>
      <c r="F70" s="104"/>
    </row>
    <row r="71" spans="1:6" x14ac:dyDescent="0.2">
      <c r="A71" s="113"/>
      <c r="B71" s="116"/>
      <c r="C71" s="117"/>
      <c r="D71" s="118"/>
      <c r="E71" s="103"/>
      <c r="F71" s="104"/>
    </row>
    <row r="72" spans="1:6" x14ac:dyDescent="0.2">
      <c r="A72" s="113"/>
      <c r="B72" s="116"/>
      <c r="C72" s="117"/>
      <c r="D72" s="118"/>
      <c r="E72" s="103"/>
      <c r="F72" s="104"/>
    </row>
    <row r="73" spans="1:6" x14ac:dyDescent="0.2">
      <c r="A73" s="113"/>
      <c r="B73" s="116"/>
      <c r="C73" s="117"/>
      <c r="D73" s="118"/>
      <c r="E73" s="103"/>
      <c r="F73" s="104"/>
    </row>
    <row r="74" spans="1:6" x14ac:dyDescent="0.2">
      <c r="A74" s="113"/>
      <c r="B74" s="116"/>
      <c r="C74" s="117"/>
      <c r="D74" s="118"/>
      <c r="E74" s="103"/>
      <c r="F74" s="104"/>
    </row>
    <row r="75" spans="1:6" x14ac:dyDescent="0.2">
      <c r="A75" s="113"/>
      <c r="B75" s="116"/>
      <c r="C75" s="117"/>
      <c r="D75" s="118"/>
      <c r="E75" s="103"/>
      <c r="F75" s="104"/>
    </row>
    <row r="76" spans="1:6" x14ac:dyDescent="0.2">
      <c r="A76" s="113"/>
      <c r="B76" s="116"/>
      <c r="C76" s="117"/>
      <c r="D76" s="118"/>
      <c r="E76" s="103"/>
      <c r="F76" s="104"/>
    </row>
    <row r="77" spans="1:6" x14ac:dyDescent="0.2">
      <c r="A77" s="113"/>
      <c r="B77" s="116"/>
      <c r="C77" s="117"/>
      <c r="D77" s="118"/>
      <c r="E77" s="103"/>
      <c r="F77" s="104"/>
    </row>
    <row r="78" spans="1:6" x14ac:dyDescent="0.2">
      <c r="A78" s="113"/>
      <c r="B78" s="116"/>
      <c r="C78" s="117"/>
      <c r="D78" s="118"/>
      <c r="E78" s="103"/>
      <c r="F78" s="104"/>
    </row>
    <row r="79" spans="1:6" x14ac:dyDescent="0.2">
      <c r="A79" s="113"/>
      <c r="B79" s="116"/>
      <c r="C79" s="117"/>
      <c r="D79" s="118"/>
      <c r="E79" s="103"/>
      <c r="F79" s="104"/>
    </row>
    <row r="80" spans="1:6" x14ac:dyDescent="0.2">
      <c r="A80" s="113"/>
      <c r="B80" s="116"/>
      <c r="C80" s="117"/>
      <c r="D80" s="118"/>
      <c r="E80" s="103"/>
      <c r="F80" s="104"/>
    </row>
    <row r="81" spans="1:6" x14ac:dyDescent="0.2">
      <c r="A81" s="113"/>
      <c r="B81" s="116"/>
      <c r="C81" s="117"/>
      <c r="D81" s="118"/>
      <c r="E81" s="103"/>
      <c r="F81" s="104"/>
    </row>
    <row r="82" spans="1:6" x14ac:dyDescent="0.2">
      <c r="A82" s="113"/>
      <c r="B82" s="116"/>
      <c r="C82" s="117"/>
      <c r="D82" s="118"/>
      <c r="E82" s="103"/>
      <c r="F82" s="104"/>
    </row>
    <row r="83" spans="1:6" x14ac:dyDescent="0.2">
      <c r="A83" s="113"/>
      <c r="B83" s="116"/>
      <c r="C83" s="117"/>
      <c r="D83" s="118"/>
      <c r="E83" s="103"/>
      <c r="F83" s="104"/>
    </row>
    <row r="84" spans="1:6" x14ac:dyDescent="0.2">
      <c r="A84" s="113"/>
      <c r="B84" s="116"/>
      <c r="C84" s="117"/>
      <c r="D84" s="118"/>
      <c r="E84" s="103"/>
      <c r="F84" s="104"/>
    </row>
    <row r="85" spans="1:6" x14ac:dyDescent="0.2">
      <c r="A85" s="113"/>
      <c r="B85" s="116"/>
      <c r="C85" s="117"/>
      <c r="D85" s="118"/>
      <c r="E85" s="103"/>
      <c r="F85" s="104"/>
    </row>
    <row r="86" spans="1:6" x14ac:dyDescent="0.2">
      <c r="A86" s="113"/>
      <c r="B86" s="116"/>
      <c r="C86" s="117"/>
      <c r="D86" s="118"/>
      <c r="E86" s="103"/>
      <c r="F86" s="104"/>
    </row>
    <row r="87" spans="1:6" x14ac:dyDescent="0.2">
      <c r="A87" s="113"/>
      <c r="B87" s="116"/>
      <c r="C87" s="117"/>
      <c r="D87" s="118"/>
      <c r="E87" s="103"/>
      <c r="F87" s="104"/>
    </row>
    <row r="88" spans="1:6" x14ac:dyDescent="0.2">
      <c r="A88" s="113"/>
      <c r="B88" s="116"/>
      <c r="C88" s="117"/>
      <c r="D88" s="118"/>
      <c r="E88" s="103"/>
      <c r="F88" s="104"/>
    </row>
    <row r="89" spans="1:6" x14ac:dyDescent="0.2">
      <c r="A89" s="113"/>
      <c r="B89" s="116"/>
      <c r="C89" s="117"/>
      <c r="D89" s="118"/>
      <c r="E89" s="103"/>
      <c r="F89" s="104"/>
    </row>
    <row r="90" spans="1:6" x14ac:dyDescent="0.2">
      <c r="A90" s="113"/>
      <c r="B90" s="116"/>
      <c r="C90" s="117"/>
      <c r="D90" s="118"/>
      <c r="E90" s="103"/>
      <c r="F90" s="104"/>
    </row>
    <row r="91" spans="1:6" x14ac:dyDescent="0.2">
      <c r="A91" s="113"/>
      <c r="B91" s="116"/>
      <c r="C91" s="117"/>
      <c r="D91" s="118"/>
      <c r="E91" s="103"/>
      <c r="F91" s="104"/>
    </row>
    <row r="92" spans="1:6" x14ac:dyDescent="0.2">
      <c r="A92" s="113"/>
      <c r="B92" s="116"/>
      <c r="C92" s="117"/>
      <c r="D92" s="118"/>
      <c r="E92" s="103"/>
      <c r="F92" s="104"/>
    </row>
    <row r="93" spans="1:6" x14ac:dyDescent="0.2">
      <c r="A93" s="113"/>
      <c r="B93" s="116"/>
      <c r="C93" s="117"/>
      <c r="D93" s="118"/>
      <c r="E93" s="103"/>
      <c r="F93" s="104"/>
    </row>
    <row r="94" spans="1:6" x14ac:dyDescent="0.2">
      <c r="A94" s="113"/>
      <c r="B94" s="116"/>
      <c r="C94" s="117"/>
      <c r="D94" s="118"/>
      <c r="E94" s="103"/>
      <c r="F94" s="104"/>
    </row>
    <row r="95" spans="1:6" x14ac:dyDescent="0.2">
      <c r="A95" s="113"/>
      <c r="B95" s="116"/>
      <c r="C95" s="117"/>
      <c r="D95" s="118"/>
      <c r="E95" s="103"/>
      <c r="F95" s="104"/>
    </row>
    <row r="96" spans="1:6" x14ac:dyDescent="0.2">
      <c r="A96" s="113"/>
      <c r="B96" s="116"/>
      <c r="C96" s="117"/>
      <c r="D96" s="118"/>
      <c r="E96" s="103"/>
      <c r="F96" s="104"/>
    </row>
    <row r="97" spans="1:6" x14ac:dyDescent="0.2">
      <c r="A97" s="113"/>
      <c r="B97" s="116"/>
      <c r="C97" s="117"/>
      <c r="D97" s="118"/>
      <c r="E97" s="103"/>
      <c r="F97" s="104"/>
    </row>
    <row r="98" spans="1:6" x14ac:dyDescent="0.2">
      <c r="A98" s="113"/>
      <c r="B98" s="116"/>
      <c r="C98" s="117"/>
      <c r="D98" s="118"/>
      <c r="E98" s="103"/>
      <c r="F98" s="104"/>
    </row>
    <row r="99" spans="1:6" x14ac:dyDescent="0.2">
      <c r="A99" s="113"/>
      <c r="B99" s="116"/>
      <c r="C99" s="117"/>
      <c r="D99" s="118"/>
      <c r="E99" s="103"/>
      <c r="F99" s="104"/>
    </row>
    <row r="100" spans="1:6" x14ac:dyDescent="0.2">
      <c r="A100" s="113"/>
      <c r="B100" s="116"/>
      <c r="C100" s="117"/>
      <c r="D100" s="118"/>
      <c r="E100" s="103"/>
      <c r="F100" s="104"/>
    </row>
    <row r="101" spans="1:6" x14ac:dyDescent="0.2">
      <c r="A101" s="113"/>
      <c r="B101" s="116"/>
      <c r="C101" s="117"/>
      <c r="D101" s="118"/>
      <c r="E101" s="103"/>
      <c r="F101" s="104"/>
    </row>
    <row r="102" spans="1:6" x14ac:dyDescent="0.2">
      <c r="A102" s="113"/>
      <c r="B102" s="116"/>
      <c r="C102" s="117"/>
      <c r="D102" s="118"/>
      <c r="E102" s="103"/>
      <c r="F102" s="104"/>
    </row>
    <row r="103" spans="1:6" x14ac:dyDescent="0.2">
      <c r="A103" s="113"/>
      <c r="B103" s="116"/>
      <c r="C103" s="117"/>
      <c r="D103" s="118"/>
      <c r="E103" s="103"/>
      <c r="F103" s="104"/>
    </row>
    <row r="104" spans="1:6" x14ac:dyDescent="0.2">
      <c r="A104" s="113"/>
      <c r="B104" s="116"/>
      <c r="C104" s="117"/>
      <c r="D104" s="118"/>
      <c r="E104" s="103"/>
      <c r="F104" s="104"/>
    </row>
    <row r="105" spans="1:6" x14ac:dyDescent="0.2">
      <c r="A105" s="113"/>
      <c r="B105" s="116"/>
      <c r="C105" s="117"/>
      <c r="D105" s="118"/>
      <c r="E105" s="103"/>
      <c r="F105" s="104"/>
    </row>
    <row r="106" spans="1:6" x14ac:dyDescent="0.2">
      <c r="A106" s="113"/>
      <c r="B106" s="116"/>
      <c r="C106" s="117"/>
      <c r="D106" s="118"/>
      <c r="E106" s="103"/>
      <c r="F106" s="104"/>
    </row>
    <row r="107" spans="1:6" x14ac:dyDescent="0.2">
      <c r="A107" s="113"/>
      <c r="B107" s="116"/>
      <c r="C107" s="117"/>
      <c r="D107" s="118"/>
      <c r="E107" s="103"/>
      <c r="F107" s="104"/>
    </row>
    <row r="108" spans="1:6" x14ac:dyDescent="0.2">
      <c r="A108" s="113"/>
      <c r="B108" s="116"/>
      <c r="C108" s="117"/>
      <c r="D108" s="118"/>
      <c r="E108" s="103"/>
      <c r="F108" s="104"/>
    </row>
    <row r="109" spans="1:6" x14ac:dyDescent="0.2">
      <c r="A109" s="113"/>
      <c r="B109" s="116"/>
      <c r="C109" s="117"/>
      <c r="D109" s="118"/>
      <c r="E109" s="103"/>
      <c r="F109" s="104"/>
    </row>
    <row r="110" spans="1:6" x14ac:dyDescent="0.2">
      <c r="A110" s="113"/>
      <c r="B110" s="116"/>
      <c r="C110" s="117"/>
      <c r="D110" s="118"/>
      <c r="E110" s="103"/>
      <c r="F110" s="104"/>
    </row>
    <row r="111" spans="1:6" x14ac:dyDescent="0.2">
      <c r="A111" s="113"/>
      <c r="B111" s="116"/>
      <c r="C111" s="117"/>
      <c r="D111" s="118"/>
      <c r="E111" s="103"/>
      <c r="F111" s="104"/>
    </row>
    <row r="112" spans="1:6" x14ac:dyDescent="0.2">
      <c r="A112" s="113"/>
      <c r="B112" s="116"/>
      <c r="C112" s="117"/>
      <c r="D112" s="118"/>
      <c r="E112" s="103"/>
      <c r="F112" s="104"/>
    </row>
    <row r="113" spans="1:6" x14ac:dyDescent="0.2">
      <c r="A113" s="113"/>
      <c r="B113" s="116"/>
      <c r="C113" s="117"/>
      <c r="D113" s="118"/>
      <c r="E113" s="103"/>
      <c r="F113" s="104"/>
    </row>
    <row r="114" spans="1:6" x14ac:dyDescent="0.2">
      <c r="A114" s="113"/>
      <c r="B114" s="116"/>
      <c r="C114" s="117"/>
      <c r="D114" s="118"/>
      <c r="E114" s="103"/>
      <c r="F114" s="104"/>
    </row>
    <row r="115" spans="1:6" x14ac:dyDescent="0.2">
      <c r="A115" s="113"/>
      <c r="B115" s="116"/>
      <c r="C115" s="117"/>
      <c r="D115" s="118"/>
      <c r="E115" s="103"/>
      <c r="F115" s="104"/>
    </row>
    <row r="116" spans="1:6" x14ac:dyDescent="0.2">
      <c r="A116" s="113"/>
      <c r="B116" s="116"/>
      <c r="C116" s="117"/>
      <c r="D116" s="118"/>
      <c r="E116" s="103"/>
      <c r="F116" s="104"/>
    </row>
    <row r="117" spans="1:6" x14ac:dyDescent="0.2">
      <c r="A117" s="113"/>
      <c r="B117" s="116"/>
      <c r="C117" s="117"/>
      <c r="D117" s="118"/>
      <c r="E117" s="103"/>
      <c r="F117" s="104"/>
    </row>
    <row r="118" spans="1:6" x14ac:dyDescent="0.2">
      <c r="A118" s="113"/>
      <c r="B118" s="116"/>
      <c r="C118" s="117"/>
      <c r="D118" s="118"/>
      <c r="E118" s="103"/>
      <c r="F118" s="104"/>
    </row>
    <row r="119" spans="1:6" x14ac:dyDescent="0.2">
      <c r="A119" s="113"/>
      <c r="B119" s="116"/>
      <c r="C119" s="117"/>
      <c r="D119" s="118"/>
      <c r="E119" s="103"/>
      <c r="F119" s="104"/>
    </row>
    <row r="120" spans="1:6" x14ac:dyDescent="0.2">
      <c r="A120" s="113"/>
      <c r="B120" s="116"/>
      <c r="C120" s="117"/>
      <c r="D120" s="118"/>
      <c r="E120" s="103"/>
      <c r="F120" s="104"/>
    </row>
    <row r="121" spans="1:6" x14ac:dyDescent="0.2">
      <c r="A121" s="113"/>
      <c r="B121" s="116"/>
      <c r="C121" s="117"/>
      <c r="D121" s="118"/>
      <c r="E121" s="103"/>
      <c r="F121" s="104"/>
    </row>
    <row r="122" spans="1:6" x14ac:dyDescent="0.2">
      <c r="A122" s="113"/>
      <c r="B122" s="116"/>
      <c r="C122" s="117"/>
      <c r="D122" s="118"/>
      <c r="E122" s="103"/>
      <c r="F122" s="104"/>
    </row>
    <row r="123" spans="1:6" x14ac:dyDescent="0.2">
      <c r="A123" s="113"/>
      <c r="B123" s="116"/>
      <c r="C123" s="117"/>
      <c r="D123" s="118"/>
      <c r="E123" s="103"/>
      <c r="F123" s="104"/>
    </row>
    <row r="124" spans="1:6" x14ac:dyDescent="0.2">
      <c r="A124" s="113"/>
      <c r="B124" s="116"/>
      <c r="C124" s="117"/>
      <c r="D124" s="118"/>
      <c r="E124" s="103"/>
      <c r="F124" s="104"/>
    </row>
    <row r="125" spans="1:6" x14ac:dyDescent="0.2">
      <c r="A125" s="113"/>
      <c r="B125" s="116"/>
      <c r="C125" s="117"/>
      <c r="D125" s="118"/>
      <c r="E125" s="103"/>
      <c r="F125" s="104"/>
    </row>
    <row r="126" spans="1:6" x14ac:dyDescent="0.2">
      <c r="A126" s="113"/>
      <c r="B126" s="116"/>
      <c r="C126" s="117"/>
      <c r="D126" s="118"/>
      <c r="E126" s="103"/>
      <c r="F126" s="104"/>
    </row>
    <row r="127" spans="1:6" x14ac:dyDescent="0.2">
      <c r="A127" s="113"/>
      <c r="B127" s="116"/>
      <c r="C127" s="117"/>
      <c r="D127" s="118"/>
      <c r="E127" s="103"/>
      <c r="F127" s="104"/>
    </row>
    <row r="128" spans="1:6" x14ac:dyDescent="0.2">
      <c r="A128" s="113"/>
      <c r="B128" s="116"/>
      <c r="C128" s="117"/>
      <c r="D128" s="118"/>
      <c r="E128" s="103"/>
      <c r="F128" s="104"/>
    </row>
    <row r="129" spans="1:6" x14ac:dyDescent="0.2">
      <c r="A129" s="113"/>
      <c r="B129" s="116"/>
      <c r="C129" s="117"/>
      <c r="D129" s="118"/>
      <c r="E129" s="103"/>
      <c r="F129" s="104"/>
    </row>
    <row r="130" spans="1:6" x14ac:dyDescent="0.2">
      <c r="A130" s="113"/>
      <c r="B130" s="116"/>
      <c r="C130" s="117"/>
      <c r="D130" s="118"/>
      <c r="E130" s="103"/>
      <c r="F130" s="104"/>
    </row>
    <row r="131" spans="1:6" x14ac:dyDescent="0.2">
      <c r="A131" s="113"/>
      <c r="B131" s="116"/>
      <c r="C131" s="117"/>
      <c r="D131" s="118"/>
      <c r="E131" s="103"/>
      <c r="F131" s="104"/>
    </row>
    <row r="132" spans="1:6" x14ac:dyDescent="0.2">
      <c r="A132" s="113"/>
      <c r="B132" s="116"/>
      <c r="C132" s="117"/>
      <c r="D132" s="118"/>
      <c r="E132" s="103"/>
      <c r="F132" s="104"/>
    </row>
    <row r="133" spans="1:6" x14ac:dyDescent="0.2">
      <c r="A133" s="113"/>
      <c r="B133" s="116"/>
      <c r="C133" s="117"/>
      <c r="D133" s="118"/>
      <c r="E133" s="103"/>
      <c r="F133" s="104"/>
    </row>
    <row r="134" spans="1:6" x14ac:dyDescent="0.2">
      <c r="A134" s="113"/>
      <c r="B134" s="116"/>
      <c r="C134" s="117"/>
      <c r="D134" s="118"/>
      <c r="E134" s="103"/>
      <c r="F134" s="104"/>
    </row>
    <row r="135" spans="1:6" x14ac:dyDescent="0.2">
      <c r="A135" s="113"/>
      <c r="B135" s="116"/>
      <c r="C135" s="117"/>
      <c r="D135" s="118"/>
      <c r="E135" s="103"/>
      <c r="F135" s="104"/>
    </row>
    <row r="136" spans="1:6" x14ac:dyDescent="0.2">
      <c r="A136" s="113"/>
      <c r="B136" s="116"/>
      <c r="C136" s="117"/>
      <c r="D136" s="118"/>
      <c r="E136" s="103"/>
      <c r="F136" s="104"/>
    </row>
    <row r="137" spans="1:6" x14ac:dyDescent="0.2">
      <c r="A137" s="113"/>
      <c r="B137" s="116"/>
      <c r="C137" s="117"/>
      <c r="D137" s="118"/>
      <c r="E137" s="103"/>
      <c r="F137" s="104"/>
    </row>
    <row r="138" spans="1:6" x14ac:dyDescent="0.2">
      <c r="A138" s="113"/>
      <c r="B138" s="116"/>
      <c r="C138" s="117"/>
      <c r="D138" s="118"/>
      <c r="E138" s="103"/>
      <c r="F138" s="104"/>
    </row>
    <row r="139" spans="1:6" x14ac:dyDescent="0.2">
      <c r="A139" s="113"/>
      <c r="B139" s="116"/>
      <c r="C139" s="117"/>
      <c r="D139" s="118"/>
      <c r="E139" s="103"/>
      <c r="F139" s="104"/>
    </row>
    <row r="140" spans="1:6" x14ac:dyDescent="0.2">
      <c r="A140" s="113"/>
      <c r="B140" s="116"/>
      <c r="C140" s="117"/>
      <c r="D140" s="118"/>
      <c r="E140" s="103"/>
      <c r="F140" s="104"/>
    </row>
    <row r="141" spans="1:6" x14ac:dyDescent="0.2">
      <c r="A141" s="113"/>
      <c r="B141" s="116"/>
      <c r="C141" s="117"/>
      <c r="D141" s="118"/>
      <c r="E141" s="103"/>
      <c r="F141" s="104"/>
    </row>
    <row r="142" spans="1:6" x14ac:dyDescent="0.2">
      <c r="A142" s="113"/>
      <c r="B142" s="116"/>
      <c r="C142" s="117"/>
      <c r="D142" s="118"/>
      <c r="E142" s="103"/>
      <c r="F142" s="104"/>
    </row>
    <row r="143" spans="1:6" x14ac:dyDescent="0.2">
      <c r="A143" s="113"/>
      <c r="B143" s="116"/>
      <c r="C143" s="117"/>
      <c r="D143" s="118"/>
      <c r="E143" s="103"/>
      <c r="F143" s="104"/>
    </row>
    <row r="144" spans="1:6" x14ac:dyDescent="0.2">
      <c r="A144" s="113"/>
      <c r="B144" s="116"/>
      <c r="C144" s="117"/>
      <c r="D144" s="118"/>
      <c r="E144" s="103"/>
      <c r="F144" s="104"/>
    </row>
    <row r="145" spans="1:6" x14ac:dyDescent="0.2">
      <c r="A145" s="113"/>
      <c r="B145" s="116"/>
      <c r="C145" s="117"/>
      <c r="D145" s="118"/>
      <c r="E145" s="103"/>
      <c r="F145" s="104"/>
    </row>
    <row r="146" spans="1:6" x14ac:dyDescent="0.2">
      <c r="A146" s="113"/>
      <c r="B146" s="116"/>
      <c r="C146" s="117"/>
      <c r="D146" s="118"/>
      <c r="E146" s="103"/>
      <c r="F146" s="104"/>
    </row>
    <row r="147" spans="1:6" x14ac:dyDescent="0.2">
      <c r="A147" s="113"/>
      <c r="B147" s="116"/>
      <c r="C147" s="117"/>
      <c r="D147" s="118"/>
      <c r="E147" s="103"/>
      <c r="F147" s="104"/>
    </row>
    <row r="148" spans="1:6" x14ac:dyDescent="0.2">
      <c r="A148" s="113"/>
      <c r="B148" s="116"/>
      <c r="C148" s="117"/>
      <c r="D148" s="118"/>
      <c r="E148" s="103"/>
      <c r="F148" s="104"/>
    </row>
    <row r="149" spans="1:6" x14ac:dyDescent="0.2">
      <c r="A149" s="113"/>
      <c r="B149" s="116"/>
      <c r="C149" s="117"/>
      <c r="D149" s="118"/>
      <c r="E149" s="103"/>
      <c r="F149" s="104"/>
    </row>
    <row r="150" spans="1:6" x14ac:dyDescent="0.2">
      <c r="A150" s="113"/>
      <c r="B150" s="116"/>
      <c r="C150" s="117"/>
      <c r="D150" s="118"/>
      <c r="E150" s="103"/>
      <c r="F150" s="104"/>
    </row>
    <row r="151" spans="1:6" x14ac:dyDescent="0.2">
      <c r="A151" s="113"/>
      <c r="B151" s="116"/>
      <c r="C151" s="117"/>
      <c r="D151" s="118"/>
      <c r="E151" s="103"/>
      <c r="F151" s="104"/>
    </row>
    <row r="152" spans="1:6" x14ac:dyDescent="0.2">
      <c r="A152" s="113"/>
      <c r="B152" s="116"/>
      <c r="C152" s="117"/>
      <c r="D152" s="118"/>
      <c r="E152" s="103"/>
      <c r="F152" s="104"/>
    </row>
    <row r="153" spans="1:6" x14ac:dyDescent="0.2">
      <c r="A153" s="113"/>
      <c r="B153" s="116"/>
      <c r="C153" s="117"/>
      <c r="D153" s="118"/>
      <c r="E153" s="103"/>
      <c r="F153" s="104"/>
    </row>
    <row r="154" spans="1:6" x14ac:dyDescent="0.2">
      <c r="A154" s="113"/>
      <c r="B154" s="116"/>
      <c r="C154" s="117"/>
      <c r="D154" s="118"/>
      <c r="E154" s="103"/>
      <c r="F154" s="104"/>
    </row>
    <row r="155" spans="1:6" x14ac:dyDescent="0.2">
      <c r="A155" s="113"/>
      <c r="B155" s="116"/>
      <c r="C155" s="117"/>
      <c r="D155" s="118"/>
      <c r="E155" s="103"/>
      <c r="F155" s="104"/>
    </row>
    <row r="156" spans="1:6" x14ac:dyDescent="0.2">
      <c r="A156" s="113"/>
      <c r="B156" s="116"/>
      <c r="C156" s="117"/>
      <c r="D156" s="118"/>
      <c r="E156" s="103"/>
      <c r="F156" s="104"/>
    </row>
    <row r="157" spans="1:6" x14ac:dyDescent="0.2">
      <c r="A157" s="113"/>
      <c r="B157" s="116"/>
      <c r="C157" s="117"/>
      <c r="D157" s="118"/>
      <c r="E157" s="103"/>
      <c r="F157" s="104"/>
    </row>
    <row r="158" spans="1:6" x14ac:dyDescent="0.2">
      <c r="A158" s="113"/>
      <c r="B158" s="116"/>
      <c r="C158" s="117"/>
      <c r="D158" s="118"/>
      <c r="E158" s="103"/>
      <c r="F158" s="104"/>
    </row>
    <row r="159" spans="1:6" x14ac:dyDescent="0.2">
      <c r="A159" s="113"/>
      <c r="B159" s="116"/>
      <c r="C159" s="117"/>
      <c r="D159" s="118"/>
      <c r="E159" s="103"/>
      <c r="F159" s="104"/>
    </row>
    <row r="160" spans="1:6" x14ac:dyDescent="0.2">
      <c r="A160" s="113"/>
      <c r="B160" s="116"/>
      <c r="C160" s="117"/>
      <c r="D160" s="118"/>
      <c r="E160" s="103"/>
      <c r="F160" s="104"/>
    </row>
    <row r="161" spans="1:6" x14ac:dyDescent="0.2">
      <c r="A161" s="113"/>
      <c r="B161" s="116"/>
      <c r="C161" s="117"/>
      <c r="D161" s="118"/>
      <c r="E161" s="103"/>
      <c r="F161" s="104"/>
    </row>
    <row r="162" spans="1:6" x14ac:dyDescent="0.2">
      <c r="A162" s="113"/>
      <c r="B162" s="116"/>
      <c r="C162" s="117"/>
      <c r="D162" s="118"/>
      <c r="E162" s="103"/>
      <c r="F162" s="104"/>
    </row>
    <row r="163" spans="1:6" x14ac:dyDescent="0.2">
      <c r="A163" s="113"/>
      <c r="B163" s="116"/>
      <c r="C163" s="117"/>
      <c r="D163" s="118"/>
      <c r="E163" s="103"/>
      <c r="F163" s="104"/>
    </row>
    <row r="164" spans="1:6" x14ac:dyDescent="0.2">
      <c r="A164" s="113"/>
      <c r="B164" s="116"/>
      <c r="C164" s="117"/>
      <c r="D164" s="118"/>
      <c r="E164" s="103"/>
      <c r="F164" s="104"/>
    </row>
    <row r="165" spans="1:6" x14ac:dyDescent="0.2">
      <c r="A165" s="113"/>
      <c r="B165" s="116"/>
      <c r="C165" s="117"/>
      <c r="D165" s="118"/>
      <c r="E165" s="103"/>
      <c r="F165" s="104"/>
    </row>
    <row r="166" spans="1:6" x14ac:dyDescent="0.2">
      <c r="A166" s="113"/>
      <c r="B166" s="116"/>
      <c r="C166" s="117"/>
      <c r="D166" s="118"/>
      <c r="E166" s="103"/>
      <c r="F166" s="104"/>
    </row>
    <row r="167" spans="1:6" x14ac:dyDescent="0.2">
      <c r="A167" s="113"/>
      <c r="B167" s="116"/>
      <c r="C167" s="117"/>
      <c r="D167" s="118"/>
      <c r="E167" s="103"/>
      <c r="F167" s="104"/>
    </row>
    <row r="168" spans="1:6" x14ac:dyDescent="0.2">
      <c r="A168" s="113"/>
      <c r="B168" s="116"/>
      <c r="C168" s="117"/>
      <c r="D168" s="118"/>
      <c r="E168" s="103"/>
      <c r="F168" s="104"/>
    </row>
    <row r="169" spans="1:6" x14ac:dyDescent="0.2">
      <c r="A169" s="113"/>
      <c r="B169" s="116"/>
      <c r="C169" s="117"/>
      <c r="D169" s="118"/>
      <c r="E169" s="103"/>
      <c r="F169" s="104"/>
    </row>
    <row r="170" spans="1:6" x14ac:dyDescent="0.2">
      <c r="A170" s="113"/>
      <c r="B170" s="116"/>
      <c r="C170" s="117"/>
      <c r="D170" s="118"/>
      <c r="E170" s="103"/>
      <c r="F170" s="104"/>
    </row>
    <row r="171" spans="1:6" x14ac:dyDescent="0.2">
      <c r="A171" s="113"/>
      <c r="B171" s="116"/>
      <c r="C171" s="117"/>
      <c r="D171" s="118"/>
      <c r="E171" s="103"/>
      <c r="F171" s="104"/>
    </row>
    <row r="172" spans="1:6" x14ac:dyDescent="0.2">
      <c r="A172" s="113"/>
      <c r="B172" s="116"/>
      <c r="C172" s="117"/>
      <c r="D172" s="118"/>
      <c r="E172" s="103"/>
      <c r="F172" s="104"/>
    </row>
    <row r="173" spans="1:6" x14ac:dyDescent="0.2">
      <c r="A173" s="113"/>
      <c r="B173" s="116"/>
      <c r="C173" s="117"/>
      <c r="D173" s="118"/>
      <c r="E173" s="103"/>
      <c r="F173" s="104"/>
    </row>
    <row r="174" spans="1:6" x14ac:dyDescent="0.2">
      <c r="A174" s="113"/>
      <c r="B174" s="116"/>
      <c r="C174" s="117"/>
      <c r="D174" s="118"/>
      <c r="E174" s="103"/>
      <c r="F174" s="104"/>
    </row>
    <row r="175" spans="1:6" x14ac:dyDescent="0.2">
      <c r="A175" s="113"/>
      <c r="B175" s="116"/>
      <c r="C175" s="117"/>
      <c r="D175" s="118"/>
      <c r="E175" s="103"/>
      <c r="F175" s="104"/>
    </row>
    <row r="176" spans="1:6" x14ac:dyDescent="0.2">
      <c r="A176" s="113"/>
      <c r="B176" s="116"/>
      <c r="C176" s="117"/>
      <c r="D176" s="118"/>
      <c r="E176" s="103"/>
      <c r="F176" s="104"/>
    </row>
    <row r="177" spans="1:6" x14ac:dyDescent="0.2">
      <c r="A177" s="113"/>
      <c r="B177" s="116"/>
      <c r="C177" s="117"/>
      <c r="D177" s="118"/>
      <c r="E177" s="103"/>
      <c r="F177" s="104"/>
    </row>
    <row r="178" spans="1:6" x14ac:dyDescent="0.2">
      <c r="A178" s="113"/>
      <c r="B178" s="116"/>
      <c r="C178" s="117"/>
      <c r="D178" s="118"/>
      <c r="E178" s="103"/>
      <c r="F178" s="104"/>
    </row>
    <row r="179" spans="1:6" x14ac:dyDescent="0.2">
      <c r="A179" s="113"/>
      <c r="B179" s="116"/>
      <c r="C179" s="117"/>
      <c r="D179" s="118"/>
      <c r="E179" s="103"/>
      <c r="F179" s="104"/>
    </row>
    <row r="180" spans="1:6" x14ac:dyDescent="0.2">
      <c r="A180" s="113"/>
      <c r="B180" s="116"/>
      <c r="C180" s="117"/>
      <c r="D180" s="118"/>
      <c r="E180" s="103"/>
      <c r="F180" s="104"/>
    </row>
    <row r="181" spans="1:6" x14ac:dyDescent="0.2">
      <c r="A181" s="113"/>
      <c r="B181" s="116"/>
      <c r="C181" s="117"/>
      <c r="D181" s="118"/>
      <c r="E181" s="103"/>
      <c r="F181" s="104"/>
    </row>
    <row r="182" spans="1:6" x14ac:dyDescent="0.2">
      <c r="A182" s="113"/>
      <c r="B182" s="116"/>
      <c r="C182" s="117"/>
      <c r="D182" s="118"/>
      <c r="E182" s="103"/>
      <c r="F182" s="104"/>
    </row>
    <row r="183" spans="1:6" x14ac:dyDescent="0.2">
      <c r="A183" s="113"/>
      <c r="B183" s="116"/>
      <c r="C183" s="117"/>
      <c r="D183" s="118"/>
      <c r="E183" s="103"/>
      <c r="F183" s="104"/>
    </row>
    <row r="184" spans="1:6" x14ac:dyDescent="0.2">
      <c r="A184" s="113"/>
      <c r="B184" s="116"/>
      <c r="C184" s="117"/>
      <c r="D184" s="118"/>
      <c r="E184" s="103"/>
      <c r="F184" s="104"/>
    </row>
    <row r="185" spans="1:6" x14ac:dyDescent="0.2">
      <c r="A185" s="113"/>
      <c r="B185" s="116"/>
      <c r="C185" s="117"/>
      <c r="D185" s="118"/>
      <c r="E185" s="103"/>
      <c r="F185" s="104"/>
    </row>
    <row r="186" spans="1:6" x14ac:dyDescent="0.2">
      <c r="A186" s="113"/>
      <c r="B186" s="116"/>
      <c r="C186" s="117"/>
      <c r="D186" s="118"/>
      <c r="E186" s="103"/>
      <c r="F186" s="104"/>
    </row>
    <row r="187" spans="1:6" x14ac:dyDescent="0.2">
      <c r="A187" s="113"/>
      <c r="B187" s="116"/>
      <c r="C187" s="117"/>
      <c r="D187" s="118"/>
      <c r="E187" s="103"/>
      <c r="F187" s="104"/>
    </row>
    <row r="188" spans="1:6" x14ac:dyDescent="0.2">
      <c r="A188" s="113"/>
      <c r="B188" s="116"/>
      <c r="C188" s="117"/>
      <c r="D188" s="118"/>
      <c r="E188" s="103"/>
      <c r="F188" s="104"/>
    </row>
    <row r="189" spans="1:6" x14ac:dyDescent="0.2">
      <c r="A189" s="113"/>
      <c r="B189" s="116"/>
      <c r="C189" s="117"/>
      <c r="D189" s="118"/>
      <c r="E189" s="103"/>
      <c r="F189" s="104"/>
    </row>
    <row r="190" spans="1:6" x14ac:dyDescent="0.2">
      <c r="A190" s="113"/>
      <c r="B190" s="116"/>
      <c r="C190" s="117"/>
      <c r="D190" s="118"/>
      <c r="E190" s="103"/>
      <c r="F190" s="104"/>
    </row>
    <row r="191" spans="1:6" x14ac:dyDescent="0.2">
      <c r="A191" s="113"/>
      <c r="B191" s="116"/>
      <c r="C191" s="117"/>
      <c r="D191" s="118"/>
      <c r="E191" s="103"/>
      <c r="F191" s="104"/>
    </row>
    <row r="192" spans="1:6" x14ac:dyDescent="0.2">
      <c r="A192" s="113"/>
      <c r="B192" s="116"/>
      <c r="C192" s="117"/>
      <c r="D192" s="118"/>
      <c r="E192" s="103"/>
      <c r="F192" s="104"/>
    </row>
    <row r="193" spans="1:6" x14ac:dyDescent="0.2">
      <c r="A193" s="113"/>
      <c r="B193" s="116"/>
      <c r="C193" s="117"/>
      <c r="D193" s="118"/>
      <c r="E193" s="103"/>
      <c r="F193" s="104"/>
    </row>
    <row r="194" spans="1:6" x14ac:dyDescent="0.2">
      <c r="A194" s="113"/>
      <c r="B194" s="116"/>
      <c r="C194" s="117"/>
      <c r="D194" s="118"/>
      <c r="E194" s="103"/>
      <c r="F194" s="104"/>
    </row>
    <row r="195" spans="1:6" x14ac:dyDescent="0.2">
      <c r="A195" s="113"/>
      <c r="B195" s="116"/>
      <c r="C195" s="117"/>
      <c r="D195" s="118"/>
      <c r="E195" s="103"/>
      <c r="F195" s="104"/>
    </row>
    <row r="196" spans="1:6" x14ac:dyDescent="0.2">
      <c r="A196" s="113"/>
      <c r="B196" s="116"/>
      <c r="C196" s="117"/>
      <c r="D196" s="118"/>
      <c r="E196" s="103"/>
      <c r="F196" s="104"/>
    </row>
    <row r="197" spans="1:6" x14ac:dyDescent="0.2">
      <c r="A197" s="113"/>
      <c r="B197" s="116"/>
      <c r="C197" s="117"/>
      <c r="D197" s="118"/>
      <c r="E197" s="103"/>
      <c r="F197" s="104"/>
    </row>
    <row r="198" spans="1:6" x14ac:dyDescent="0.2">
      <c r="A198" s="113"/>
      <c r="B198" s="116"/>
      <c r="C198" s="117"/>
      <c r="D198" s="118"/>
      <c r="E198" s="103"/>
      <c r="F198" s="104"/>
    </row>
    <row r="199" spans="1:6" x14ac:dyDescent="0.2">
      <c r="A199" s="113"/>
      <c r="B199" s="116"/>
      <c r="C199" s="117"/>
      <c r="D199" s="118"/>
      <c r="E199" s="103"/>
      <c r="F199" s="104"/>
    </row>
    <row r="200" spans="1:6" x14ac:dyDescent="0.2">
      <c r="A200" s="113"/>
      <c r="B200" s="116"/>
      <c r="C200" s="117"/>
      <c r="D200" s="118"/>
      <c r="E200" s="103"/>
      <c r="F200" s="104"/>
    </row>
    <row r="201" spans="1:6" x14ac:dyDescent="0.2">
      <c r="A201" s="113"/>
      <c r="B201" s="116"/>
      <c r="C201" s="117"/>
      <c r="D201" s="118"/>
      <c r="E201" s="103"/>
      <c r="F201" s="104"/>
    </row>
    <row r="202" spans="1:6" x14ac:dyDescent="0.2">
      <c r="A202" s="113"/>
      <c r="B202" s="116"/>
      <c r="C202" s="117"/>
      <c r="D202" s="118"/>
      <c r="E202" s="103"/>
      <c r="F202" s="104"/>
    </row>
    <row r="203" spans="1:6" x14ac:dyDescent="0.2">
      <c r="A203" s="113"/>
      <c r="B203" s="116"/>
      <c r="C203" s="117"/>
      <c r="D203" s="118"/>
      <c r="E203" s="103"/>
      <c r="F203" s="104"/>
    </row>
    <row r="204" spans="1:6" x14ac:dyDescent="0.2">
      <c r="A204" s="113"/>
      <c r="B204" s="116"/>
      <c r="C204" s="117"/>
      <c r="D204" s="118"/>
      <c r="E204" s="103"/>
      <c r="F204" s="104"/>
    </row>
    <row r="205" spans="1:6" x14ac:dyDescent="0.2">
      <c r="A205" s="113"/>
      <c r="B205" s="116"/>
      <c r="C205" s="117"/>
      <c r="D205" s="118"/>
      <c r="E205" s="103"/>
      <c r="F205" s="104"/>
    </row>
    <row r="206" spans="1:6" x14ac:dyDescent="0.2">
      <c r="A206" s="113"/>
      <c r="B206" s="116"/>
      <c r="C206" s="117"/>
      <c r="D206" s="118"/>
      <c r="E206" s="103"/>
      <c r="F206" s="104"/>
    </row>
    <row r="207" spans="1:6" x14ac:dyDescent="0.2">
      <c r="A207" s="113"/>
      <c r="B207" s="116"/>
      <c r="C207" s="117"/>
      <c r="D207" s="118"/>
      <c r="E207" s="103"/>
      <c r="F207" s="104"/>
    </row>
    <row r="208" spans="1:6" x14ac:dyDescent="0.2">
      <c r="A208" s="113"/>
      <c r="B208" s="116"/>
      <c r="C208" s="117"/>
      <c r="D208" s="118"/>
      <c r="E208" s="103"/>
      <c r="F208" s="104"/>
    </row>
    <row r="209" spans="1:6" x14ac:dyDescent="0.2">
      <c r="A209" s="113"/>
      <c r="B209" s="116"/>
      <c r="C209" s="117"/>
      <c r="D209" s="118"/>
      <c r="E209" s="103"/>
      <c r="F209" s="104"/>
    </row>
    <row r="210" spans="1:6" x14ac:dyDescent="0.2">
      <c r="A210" s="113"/>
      <c r="B210" s="116"/>
      <c r="C210" s="117"/>
      <c r="D210" s="118"/>
      <c r="E210" s="103"/>
      <c r="F210" s="104"/>
    </row>
    <row r="211" spans="1:6" x14ac:dyDescent="0.2">
      <c r="A211" s="113"/>
      <c r="B211" s="116"/>
      <c r="C211" s="117"/>
      <c r="D211" s="118"/>
      <c r="E211" s="103"/>
      <c r="F211" s="104"/>
    </row>
    <row r="212" spans="1:6" x14ac:dyDescent="0.2">
      <c r="A212" s="113"/>
      <c r="B212" s="116"/>
      <c r="C212" s="117"/>
      <c r="D212" s="118"/>
      <c r="E212" s="103"/>
      <c r="F212" s="104"/>
    </row>
    <row r="213" spans="1:6" x14ac:dyDescent="0.2">
      <c r="A213" s="113"/>
      <c r="B213" s="116"/>
      <c r="C213" s="117"/>
      <c r="D213" s="118"/>
      <c r="E213" s="103"/>
      <c r="F213" s="104"/>
    </row>
    <row r="214" spans="1:6" x14ac:dyDescent="0.2">
      <c r="A214" s="113"/>
      <c r="B214" s="116"/>
      <c r="C214" s="117"/>
      <c r="D214" s="118"/>
      <c r="E214" s="103"/>
      <c r="F214" s="104"/>
    </row>
    <row r="215" spans="1:6" x14ac:dyDescent="0.2">
      <c r="A215" s="113"/>
      <c r="B215" s="116"/>
      <c r="C215" s="117"/>
      <c r="D215" s="118"/>
      <c r="E215" s="103"/>
      <c r="F215" s="104"/>
    </row>
    <row r="216" spans="1:6" x14ac:dyDescent="0.2">
      <c r="A216" s="113"/>
      <c r="B216" s="116"/>
      <c r="C216" s="117"/>
      <c r="D216" s="118"/>
      <c r="E216" s="103"/>
      <c r="F216" s="104"/>
    </row>
    <row r="217" spans="1:6" x14ac:dyDescent="0.2">
      <c r="A217" s="113"/>
      <c r="B217" s="116"/>
      <c r="C217" s="117"/>
      <c r="D217" s="118"/>
      <c r="E217" s="103"/>
      <c r="F217" s="104"/>
    </row>
    <row r="218" spans="1:6" x14ac:dyDescent="0.2">
      <c r="A218" s="113"/>
      <c r="B218" s="116"/>
      <c r="C218" s="117"/>
      <c r="D218" s="118"/>
      <c r="E218" s="103"/>
      <c r="F218" s="104"/>
    </row>
    <row r="219" spans="1:6" x14ac:dyDescent="0.2">
      <c r="A219" s="113"/>
      <c r="B219" s="116"/>
      <c r="C219" s="117"/>
      <c r="D219" s="118"/>
      <c r="E219" s="103"/>
      <c r="F219" s="104"/>
    </row>
    <row r="220" spans="1:6" x14ac:dyDescent="0.2">
      <c r="A220" s="113"/>
      <c r="B220" s="116"/>
      <c r="C220" s="117"/>
      <c r="D220" s="118"/>
      <c r="E220" s="103"/>
      <c r="F220" s="104"/>
    </row>
    <row r="221" spans="1:6" x14ac:dyDescent="0.2">
      <c r="A221" s="113"/>
      <c r="B221" s="116"/>
      <c r="C221" s="117"/>
      <c r="D221" s="118"/>
      <c r="E221" s="103"/>
      <c r="F221" s="104"/>
    </row>
    <row r="222" spans="1:6" x14ac:dyDescent="0.2">
      <c r="A222" s="113"/>
      <c r="B222" s="116"/>
      <c r="C222" s="117"/>
      <c r="D222" s="118"/>
      <c r="E222" s="103"/>
      <c r="F222" s="104"/>
    </row>
    <row r="223" spans="1:6" x14ac:dyDescent="0.2">
      <c r="A223" s="113"/>
      <c r="B223" s="116"/>
      <c r="C223" s="117"/>
      <c r="D223" s="118"/>
      <c r="E223" s="103"/>
      <c r="F223" s="104"/>
    </row>
    <row r="224" spans="1:6" x14ac:dyDescent="0.2">
      <c r="A224" s="113"/>
      <c r="B224" s="116"/>
      <c r="C224" s="117"/>
      <c r="D224" s="118"/>
      <c r="E224" s="103"/>
      <c r="F224" s="104"/>
    </row>
    <row r="225" spans="1:6" x14ac:dyDescent="0.2">
      <c r="A225" s="113"/>
      <c r="B225" s="116"/>
      <c r="C225" s="117"/>
      <c r="D225" s="118"/>
      <c r="E225" s="103"/>
      <c r="F225" s="104"/>
    </row>
    <row r="226" spans="1:6" x14ac:dyDescent="0.2">
      <c r="A226" s="113"/>
      <c r="B226" s="116"/>
      <c r="C226" s="117"/>
      <c r="D226" s="118"/>
      <c r="E226" s="103"/>
      <c r="F226" s="104"/>
    </row>
    <row r="227" spans="1:6" x14ac:dyDescent="0.2">
      <c r="A227" s="113"/>
      <c r="B227" s="116"/>
      <c r="C227" s="117"/>
      <c r="D227" s="118"/>
      <c r="E227" s="103"/>
      <c r="F227" s="104"/>
    </row>
    <row r="228" spans="1:6" x14ac:dyDescent="0.2">
      <c r="A228" s="113"/>
      <c r="B228" s="116"/>
      <c r="C228" s="117"/>
      <c r="D228" s="118"/>
      <c r="E228" s="103"/>
      <c r="F228" s="104"/>
    </row>
    <row r="229" spans="1:6" x14ac:dyDescent="0.2">
      <c r="A229" s="113"/>
      <c r="B229" s="116"/>
      <c r="C229" s="117"/>
      <c r="D229" s="118"/>
      <c r="E229" s="103"/>
      <c r="F229" s="104"/>
    </row>
    <row r="230" spans="1:6" x14ac:dyDescent="0.2">
      <c r="A230" s="113"/>
      <c r="B230" s="116"/>
      <c r="C230" s="117"/>
      <c r="D230" s="118"/>
      <c r="E230" s="103"/>
      <c r="F230" s="104"/>
    </row>
    <row r="231" spans="1:6" x14ac:dyDescent="0.2">
      <c r="A231" s="113"/>
      <c r="B231" s="116"/>
      <c r="C231" s="117"/>
      <c r="D231" s="118"/>
      <c r="E231" s="103"/>
      <c r="F231" s="104"/>
    </row>
    <row r="232" spans="1:6" x14ac:dyDescent="0.2">
      <c r="A232" s="113"/>
      <c r="B232" s="116"/>
      <c r="C232" s="117"/>
      <c r="D232" s="118"/>
      <c r="E232" s="103"/>
      <c r="F232" s="104"/>
    </row>
    <row r="233" spans="1:6" x14ac:dyDescent="0.2">
      <c r="A233" s="113"/>
      <c r="B233" s="116"/>
      <c r="C233" s="117"/>
      <c r="D233" s="118"/>
      <c r="E233" s="103"/>
      <c r="F233" s="104"/>
    </row>
    <row r="234" spans="1:6" x14ac:dyDescent="0.2">
      <c r="A234" s="113"/>
      <c r="B234" s="116"/>
      <c r="C234" s="117"/>
      <c r="D234" s="118"/>
      <c r="E234" s="103"/>
      <c r="F234" s="104"/>
    </row>
    <row r="235" spans="1:6" x14ac:dyDescent="0.2">
      <c r="A235" s="113"/>
      <c r="B235" s="116"/>
      <c r="C235" s="117"/>
      <c r="D235" s="118"/>
      <c r="E235" s="103"/>
      <c r="F235" s="104"/>
    </row>
    <row r="236" spans="1:6" x14ac:dyDescent="0.2">
      <c r="A236" s="113"/>
      <c r="B236" s="116"/>
      <c r="C236" s="117"/>
      <c r="D236" s="118"/>
      <c r="E236" s="103"/>
      <c r="F236" s="104"/>
    </row>
    <row r="237" spans="1:6" x14ac:dyDescent="0.2">
      <c r="A237" s="113"/>
      <c r="B237" s="116"/>
      <c r="C237" s="117"/>
      <c r="D237" s="118"/>
      <c r="E237" s="103"/>
      <c r="F237" s="104"/>
    </row>
    <row r="238" spans="1:6" x14ac:dyDescent="0.2">
      <c r="A238" s="113"/>
      <c r="B238" s="116"/>
      <c r="C238" s="117"/>
      <c r="D238" s="118"/>
      <c r="E238" s="103"/>
      <c r="F238" s="104"/>
    </row>
    <row r="239" spans="1:6" x14ac:dyDescent="0.2">
      <c r="A239" s="113"/>
      <c r="B239" s="116"/>
      <c r="C239" s="117"/>
      <c r="D239" s="118"/>
      <c r="E239" s="103"/>
      <c r="F239" s="104"/>
    </row>
    <row r="240" spans="1:6" x14ac:dyDescent="0.2">
      <c r="A240" s="113"/>
      <c r="B240" s="116"/>
      <c r="C240" s="117"/>
      <c r="D240" s="118"/>
      <c r="E240" s="103"/>
      <c r="F240" s="104"/>
    </row>
    <row r="241" spans="1:6" x14ac:dyDescent="0.2">
      <c r="A241" s="113"/>
      <c r="B241" s="116"/>
      <c r="C241" s="117"/>
      <c r="D241" s="118"/>
      <c r="E241" s="103"/>
      <c r="F241" s="104"/>
    </row>
    <row r="242" spans="1:6" x14ac:dyDescent="0.2">
      <c r="A242" s="113"/>
      <c r="B242" s="116"/>
      <c r="C242" s="117"/>
      <c r="D242" s="118"/>
      <c r="E242" s="103"/>
      <c r="F242" s="104"/>
    </row>
    <row r="243" spans="1:6" x14ac:dyDescent="0.2">
      <c r="A243" s="113"/>
      <c r="B243" s="116"/>
      <c r="C243" s="117"/>
      <c r="D243" s="118"/>
      <c r="E243" s="103"/>
      <c r="F243" s="104"/>
    </row>
    <row r="244" spans="1:6" x14ac:dyDescent="0.2">
      <c r="A244" s="113"/>
      <c r="B244" s="116"/>
      <c r="C244" s="117"/>
      <c r="D244" s="118"/>
      <c r="E244" s="103"/>
      <c r="F244" s="104"/>
    </row>
    <row r="245" spans="1:6" x14ac:dyDescent="0.2">
      <c r="A245" s="113"/>
      <c r="B245" s="116"/>
      <c r="C245" s="117"/>
      <c r="D245" s="118"/>
      <c r="E245" s="103"/>
      <c r="F245" s="104"/>
    </row>
    <row r="246" spans="1:6" x14ac:dyDescent="0.2">
      <c r="A246" s="113"/>
      <c r="B246" s="116"/>
      <c r="C246" s="117"/>
      <c r="D246" s="118"/>
      <c r="E246" s="103"/>
      <c r="F246" s="104"/>
    </row>
    <row r="247" spans="1:6" x14ac:dyDescent="0.2">
      <c r="A247" s="113"/>
      <c r="B247" s="116"/>
      <c r="C247" s="117"/>
      <c r="D247" s="118"/>
      <c r="E247" s="103"/>
      <c r="F247" s="104"/>
    </row>
    <row r="248" spans="1:6" x14ac:dyDescent="0.2">
      <c r="A248" s="113"/>
      <c r="B248" s="116"/>
      <c r="C248" s="117"/>
      <c r="D248" s="118"/>
      <c r="E248" s="103"/>
      <c r="F248" s="104"/>
    </row>
    <row r="249" spans="1:6" x14ac:dyDescent="0.2">
      <c r="A249" s="113"/>
      <c r="B249" s="116"/>
      <c r="C249" s="117"/>
      <c r="D249" s="118"/>
      <c r="E249" s="103"/>
      <c r="F249" s="104"/>
    </row>
    <row r="250" spans="1:6" x14ac:dyDescent="0.2">
      <c r="A250" s="113"/>
      <c r="B250" s="116"/>
      <c r="C250" s="117"/>
      <c r="D250" s="118"/>
      <c r="E250" s="103"/>
      <c r="F250" s="104"/>
    </row>
    <row r="251" spans="1:6" x14ac:dyDescent="0.2">
      <c r="A251" s="113"/>
      <c r="B251" s="116"/>
      <c r="C251" s="117"/>
      <c r="D251" s="118"/>
      <c r="E251" s="103"/>
      <c r="F251" s="104"/>
    </row>
    <row r="252" spans="1:6" x14ac:dyDescent="0.2">
      <c r="A252" s="113"/>
      <c r="B252" s="116"/>
      <c r="C252" s="117"/>
      <c r="D252" s="118"/>
      <c r="E252" s="103"/>
      <c r="F252" s="104"/>
    </row>
    <row r="253" spans="1:6" x14ac:dyDescent="0.2">
      <c r="A253" s="113"/>
      <c r="B253" s="116"/>
      <c r="C253" s="117"/>
      <c r="D253" s="118"/>
      <c r="E253" s="103"/>
      <c r="F253" s="104"/>
    </row>
    <row r="254" spans="1:6" x14ac:dyDescent="0.2">
      <c r="A254" s="113"/>
      <c r="B254" s="116"/>
      <c r="C254" s="117"/>
      <c r="D254" s="118"/>
      <c r="E254" s="103"/>
      <c r="F254" s="104"/>
    </row>
    <row r="255" spans="1:6" x14ac:dyDescent="0.2">
      <c r="A255" s="113"/>
      <c r="B255" s="116"/>
      <c r="C255" s="117"/>
      <c r="D255" s="118"/>
      <c r="E255" s="103"/>
      <c r="F255" s="104"/>
    </row>
    <row r="256" spans="1:6" x14ac:dyDescent="0.2">
      <c r="A256" s="113"/>
      <c r="B256" s="116"/>
      <c r="C256" s="117"/>
      <c r="D256" s="118"/>
      <c r="E256" s="103"/>
      <c r="F256" s="104"/>
    </row>
    <row r="257" spans="1:6" x14ac:dyDescent="0.2">
      <c r="A257" s="113"/>
      <c r="B257" s="116"/>
      <c r="C257" s="117"/>
      <c r="D257" s="118"/>
      <c r="E257" s="103"/>
      <c r="F257" s="104"/>
    </row>
    <row r="258" spans="1:6" x14ac:dyDescent="0.2">
      <c r="A258" s="113"/>
      <c r="B258" s="116"/>
      <c r="C258" s="117"/>
      <c r="D258" s="118"/>
      <c r="E258" s="103"/>
      <c r="F258" s="104"/>
    </row>
    <row r="259" spans="1:6" x14ac:dyDescent="0.2">
      <c r="A259" s="113"/>
      <c r="B259" s="116"/>
      <c r="C259" s="117"/>
      <c r="D259" s="118"/>
      <c r="E259" s="103"/>
      <c r="F259" s="104"/>
    </row>
    <row r="260" spans="1:6" x14ac:dyDescent="0.2">
      <c r="A260" s="113"/>
      <c r="B260" s="116"/>
      <c r="C260" s="117"/>
      <c r="D260" s="118"/>
      <c r="E260" s="103"/>
      <c r="F260" s="104"/>
    </row>
    <row r="261" spans="1:6" x14ac:dyDescent="0.2">
      <c r="A261" s="113"/>
      <c r="B261" s="116"/>
      <c r="C261" s="117"/>
      <c r="D261" s="118"/>
      <c r="E261" s="103"/>
      <c r="F261" s="104"/>
    </row>
    <row r="262" spans="1:6" x14ac:dyDescent="0.2">
      <c r="A262" s="113"/>
      <c r="B262" s="116"/>
      <c r="C262" s="117"/>
      <c r="D262" s="118"/>
      <c r="E262" s="103"/>
      <c r="F262" s="104"/>
    </row>
    <row r="263" spans="1:6" x14ac:dyDescent="0.2">
      <c r="A263" s="113"/>
      <c r="B263" s="116"/>
      <c r="C263" s="117"/>
      <c r="D263" s="118"/>
      <c r="E263" s="103"/>
      <c r="F263" s="104"/>
    </row>
    <row r="264" spans="1:6" x14ac:dyDescent="0.2">
      <c r="A264" s="113"/>
      <c r="B264" s="116"/>
      <c r="C264" s="117"/>
      <c r="D264" s="118"/>
      <c r="E264" s="103"/>
      <c r="F264" s="104"/>
    </row>
    <row r="265" spans="1:6" x14ac:dyDescent="0.2">
      <c r="A265" s="113"/>
      <c r="B265" s="116"/>
      <c r="C265" s="117"/>
      <c r="D265" s="118"/>
      <c r="E265" s="103"/>
      <c r="F265" s="104"/>
    </row>
    <row r="266" spans="1:6" x14ac:dyDescent="0.2">
      <c r="A266" s="113"/>
      <c r="B266" s="116"/>
      <c r="C266" s="117"/>
      <c r="D266" s="118"/>
      <c r="E266" s="103"/>
      <c r="F266" s="104"/>
    </row>
    <row r="267" spans="1:6" x14ac:dyDescent="0.2">
      <c r="A267" s="113"/>
      <c r="B267" s="116"/>
      <c r="C267" s="117"/>
      <c r="D267" s="118"/>
      <c r="E267" s="103"/>
      <c r="F267" s="104"/>
    </row>
    <row r="268" spans="1:6" x14ac:dyDescent="0.2">
      <c r="A268" s="113"/>
      <c r="B268" s="116"/>
      <c r="C268" s="117"/>
      <c r="D268" s="118"/>
      <c r="E268" s="103"/>
      <c r="F268" s="104"/>
    </row>
    <row r="269" spans="1:6" x14ac:dyDescent="0.2">
      <c r="A269" s="113"/>
      <c r="B269" s="116"/>
      <c r="C269" s="117"/>
      <c r="D269" s="118"/>
      <c r="E269" s="103"/>
      <c r="F269" s="104"/>
    </row>
    <row r="270" spans="1:6" x14ac:dyDescent="0.2">
      <c r="A270" s="113"/>
      <c r="B270" s="116"/>
      <c r="C270" s="117"/>
      <c r="D270" s="118"/>
      <c r="E270" s="103"/>
      <c r="F270" s="104"/>
    </row>
    <row r="271" spans="1:6" x14ac:dyDescent="0.2">
      <c r="A271" s="113"/>
      <c r="B271" s="116"/>
      <c r="C271" s="117"/>
      <c r="D271" s="118"/>
      <c r="E271" s="103"/>
      <c r="F271" s="104"/>
    </row>
    <row r="272" spans="1:6" x14ac:dyDescent="0.2">
      <c r="A272" s="113"/>
      <c r="B272" s="116"/>
      <c r="C272" s="117"/>
      <c r="D272" s="118"/>
      <c r="E272" s="103"/>
      <c r="F272" s="104"/>
    </row>
    <row r="273" spans="1:6" x14ac:dyDescent="0.2">
      <c r="A273" s="113"/>
      <c r="B273" s="116"/>
      <c r="C273" s="117"/>
      <c r="D273" s="118"/>
      <c r="E273" s="103"/>
      <c r="F273" s="104"/>
    </row>
    <row r="274" spans="1:6" x14ac:dyDescent="0.2">
      <c r="A274" s="113"/>
      <c r="B274" s="116"/>
      <c r="C274" s="117"/>
      <c r="D274" s="118"/>
      <c r="E274" s="103"/>
      <c r="F274" s="104"/>
    </row>
    <row r="275" spans="1:6" x14ac:dyDescent="0.2">
      <c r="A275" s="113"/>
      <c r="B275" s="116"/>
      <c r="C275" s="117"/>
      <c r="D275" s="118"/>
      <c r="E275" s="103"/>
      <c r="F275" s="104"/>
    </row>
    <row r="276" spans="1:6" x14ac:dyDescent="0.2">
      <c r="A276" s="113"/>
      <c r="B276" s="116"/>
      <c r="C276" s="117"/>
      <c r="D276" s="118"/>
      <c r="E276" s="103"/>
      <c r="F276" s="104"/>
    </row>
    <row r="277" spans="1:6" x14ac:dyDescent="0.2">
      <c r="A277" s="113"/>
      <c r="B277" s="116"/>
      <c r="C277" s="117"/>
      <c r="D277" s="118"/>
      <c r="E277" s="103"/>
      <c r="F277" s="104"/>
    </row>
    <row r="278" spans="1:6" x14ac:dyDescent="0.2">
      <c r="A278" s="113"/>
      <c r="B278" s="116"/>
      <c r="C278" s="117"/>
      <c r="D278" s="118"/>
      <c r="E278" s="103"/>
      <c r="F278" s="104"/>
    </row>
    <row r="279" spans="1:6" x14ac:dyDescent="0.2">
      <c r="A279" s="113"/>
      <c r="B279" s="116"/>
      <c r="C279" s="117"/>
      <c r="D279" s="118"/>
      <c r="E279" s="103"/>
      <c r="F279" s="104"/>
    </row>
    <row r="280" spans="1:6" x14ac:dyDescent="0.2">
      <c r="A280" s="113"/>
      <c r="B280" s="116"/>
      <c r="C280" s="117"/>
      <c r="D280" s="118"/>
      <c r="E280" s="103"/>
      <c r="F280" s="104"/>
    </row>
    <row r="281" spans="1:6" x14ac:dyDescent="0.2">
      <c r="A281" s="113"/>
      <c r="B281" s="116"/>
      <c r="C281" s="117"/>
      <c r="D281" s="118"/>
      <c r="E281" s="103"/>
      <c r="F281" s="104"/>
    </row>
    <row r="282" spans="1:6" x14ac:dyDescent="0.2">
      <c r="A282" s="113"/>
      <c r="B282" s="116"/>
      <c r="C282" s="117"/>
      <c r="D282" s="118"/>
      <c r="E282" s="103"/>
      <c r="F282" s="104"/>
    </row>
    <row r="283" spans="1:6" x14ac:dyDescent="0.2">
      <c r="A283" s="113"/>
      <c r="B283" s="116"/>
      <c r="C283" s="117"/>
      <c r="D283" s="118"/>
      <c r="E283" s="103"/>
      <c r="F283" s="104"/>
    </row>
    <row r="284" spans="1:6" x14ac:dyDescent="0.2">
      <c r="A284" s="113"/>
      <c r="B284" s="116"/>
      <c r="C284" s="117"/>
      <c r="D284" s="118"/>
      <c r="E284" s="103"/>
      <c r="F284" s="104"/>
    </row>
    <row r="285" spans="1:6" x14ac:dyDescent="0.2">
      <c r="A285" s="113"/>
      <c r="B285" s="116"/>
      <c r="C285" s="117"/>
      <c r="D285" s="118"/>
      <c r="E285" s="103"/>
      <c r="F285" s="104"/>
    </row>
    <row r="286" spans="1:6" x14ac:dyDescent="0.2">
      <c r="A286" s="113"/>
      <c r="B286" s="116"/>
      <c r="C286" s="117"/>
      <c r="D286" s="118"/>
      <c r="E286" s="103"/>
      <c r="F286" s="104"/>
    </row>
    <row r="287" spans="1:6" x14ac:dyDescent="0.2">
      <c r="A287" s="113"/>
      <c r="B287" s="116"/>
      <c r="C287" s="117"/>
      <c r="D287" s="118"/>
      <c r="E287" s="103"/>
      <c r="F287" s="104"/>
    </row>
    <row r="288" spans="1:6" x14ac:dyDescent="0.2">
      <c r="A288" s="113"/>
      <c r="B288" s="116"/>
      <c r="C288" s="117"/>
      <c r="D288" s="118"/>
      <c r="E288" s="103"/>
      <c r="F288" s="104"/>
    </row>
    <row r="289" spans="1:6" x14ac:dyDescent="0.2">
      <c r="A289" s="113"/>
      <c r="B289" s="116"/>
      <c r="C289" s="117"/>
      <c r="D289" s="118"/>
      <c r="E289" s="103"/>
      <c r="F289" s="104"/>
    </row>
    <row r="290" spans="1:6" x14ac:dyDescent="0.2">
      <c r="A290" s="113"/>
      <c r="B290" s="116"/>
      <c r="C290" s="117"/>
      <c r="D290" s="118"/>
      <c r="E290" s="103"/>
      <c r="F290" s="104"/>
    </row>
    <row r="291" spans="1:6" x14ac:dyDescent="0.2">
      <c r="A291" s="113"/>
      <c r="B291" s="116"/>
      <c r="C291" s="117"/>
      <c r="D291" s="118"/>
      <c r="E291" s="103"/>
      <c r="F291" s="104"/>
    </row>
    <row r="292" spans="1:6" x14ac:dyDescent="0.2">
      <c r="A292" s="113"/>
      <c r="B292" s="116"/>
      <c r="C292" s="117"/>
      <c r="D292" s="118"/>
      <c r="E292" s="103"/>
      <c r="F292" s="104"/>
    </row>
    <row r="293" spans="1:6" x14ac:dyDescent="0.2">
      <c r="A293" s="113"/>
      <c r="B293" s="116"/>
      <c r="C293" s="117"/>
      <c r="D293" s="118"/>
      <c r="E293" s="103"/>
      <c r="F293" s="104"/>
    </row>
    <row r="294" spans="1:6" x14ac:dyDescent="0.2">
      <c r="A294" s="113"/>
      <c r="B294" s="116"/>
      <c r="C294" s="117"/>
      <c r="D294" s="118"/>
      <c r="E294" s="103"/>
      <c r="F294" s="104"/>
    </row>
    <row r="295" spans="1:6" x14ac:dyDescent="0.2">
      <c r="A295" s="113"/>
      <c r="B295" s="116"/>
      <c r="C295" s="117"/>
      <c r="D295" s="118"/>
      <c r="E295" s="103"/>
      <c r="F295" s="104"/>
    </row>
    <row r="296" spans="1:6" x14ac:dyDescent="0.2">
      <c r="A296" s="113"/>
      <c r="B296" s="116"/>
      <c r="C296" s="117"/>
      <c r="D296" s="118"/>
      <c r="E296" s="103"/>
      <c r="F296" s="104"/>
    </row>
    <row r="297" spans="1:6" x14ac:dyDescent="0.2">
      <c r="A297" s="113"/>
      <c r="B297" s="116"/>
      <c r="C297" s="117"/>
      <c r="D297" s="118"/>
      <c r="E297" s="103"/>
      <c r="F297" s="104"/>
    </row>
    <row r="298" spans="1:6" x14ac:dyDescent="0.2">
      <c r="A298" s="113"/>
      <c r="B298" s="116"/>
      <c r="C298" s="117"/>
      <c r="D298" s="118"/>
      <c r="E298" s="103"/>
      <c r="F298" s="104"/>
    </row>
    <row r="299" spans="1:6" x14ac:dyDescent="0.2">
      <c r="A299" s="113"/>
      <c r="B299" s="116"/>
      <c r="C299" s="117"/>
      <c r="D299" s="118"/>
      <c r="E299" s="103"/>
      <c r="F299" s="104"/>
    </row>
    <row r="300" spans="1:6" x14ac:dyDescent="0.2">
      <c r="A300" s="113"/>
      <c r="B300" s="116"/>
      <c r="C300" s="117"/>
      <c r="D300" s="118"/>
      <c r="E300" s="103"/>
      <c r="F300" s="104"/>
    </row>
    <row r="301" spans="1:6" x14ac:dyDescent="0.2">
      <c r="A301" s="113"/>
      <c r="B301" s="116"/>
      <c r="C301" s="117"/>
      <c r="D301" s="118"/>
      <c r="E301" s="103"/>
      <c r="F301" s="104"/>
    </row>
    <row r="302" spans="1:6" x14ac:dyDescent="0.2">
      <c r="A302" s="113"/>
      <c r="B302" s="116"/>
      <c r="C302" s="117"/>
      <c r="D302" s="118"/>
      <c r="E302" s="103"/>
      <c r="F302" s="104"/>
    </row>
    <row r="303" spans="1:6" x14ac:dyDescent="0.2">
      <c r="A303" s="113"/>
      <c r="B303" s="116"/>
      <c r="C303" s="117"/>
      <c r="D303" s="118"/>
      <c r="E303" s="103"/>
      <c r="F303" s="104"/>
    </row>
    <row r="304" spans="1:6" x14ac:dyDescent="0.2">
      <c r="A304" s="113"/>
      <c r="B304" s="116"/>
      <c r="C304" s="117"/>
      <c r="D304" s="118"/>
      <c r="E304" s="103"/>
      <c r="F304" s="104"/>
    </row>
    <row r="305" spans="1:6" x14ac:dyDescent="0.2">
      <c r="A305" s="113"/>
      <c r="B305" s="116"/>
      <c r="C305" s="117"/>
      <c r="D305" s="118"/>
      <c r="E305" s="103"/>
      <c r="F305" s="104"/>
    </row>
    <row r="306" spans="1:6" x14ac:dyDescent="0.2">
      <c r="A306" s="113"/>
      <c r="B306" s="116"/>
      <c r="C306" s="117"/>
      <c r="D306" s="118"/>
      <c r="E306" s="103"/>
      <c r="F306" s="104"/>
    </row>
    <row r="307" spans="1:6" x14ac:dyDescent="0.2">
      <c r="A307" s="113"/>
      <c r="B307" s="116"/>
      <c r="C307" s="117"/>
      <c r="D307" s="118"/>
      <c r="E307" s="103"/>
      <c r="F307" s="104"/>
    </row>
    <row r="308" spans="1:6" x14ac:dyDescent="0.2">
      <c r="A308" s="113"/>
      <c r="B308" s="116"/>
      <c r="C308" s="117"/>
      <c r="D308" s="118"/>
      <c r="E308" s="103"/>
      <c r="F308" s="104"/>
    </row>
    <row r="309" spans="1:6" x14ac:dyDescent="0.2">
      <c r="A309" s="113"/>
      <c r="B309" s="116"/>
      <c r="C309" s="117"/>
      <c r="D309" s="118"/>
      <c r="E309" s="103"/>
      <c r="F309" s="104"/>
    </row>
    <row r="310" spans="1:6" x14ac:dyDescent="0.2">
      <c r="A310" s="113"/>
      <c r="B310" s="116"/>
      <c r="C310" s="117"/>
      <c r="D310" s="118"/>
      <c r="E310" s="103"/>
      <c r="F310" s="104"/>
    </row>
    <row r="311" spans="1:6" x14ac:dyDescent="0.2">
      <c r="A311" s="113"/>
      <c r="B311" s="116"/>
      <c r="C311" s="117"/>
      <c r="D311" s="118"/>
      <c r="E311" s="103"/>
      <c r="F311" s="104"/>
    </row>
    <row r="312" spans="1:6" x14ac:dyDescent="0.2">
      <c r="A312" s="113"/>
      <c r="B312" s="116"/>
      <c r="C312" s="117"/>
      <c r="D312" s="118"/>
      <c r="E312" s="103"/>
      <c r="F312" s="104"/>
    </row>
    <row r="313" spans="1:6" x14ac:dyDescent="0.2">
      <c r="A313" s="113"/>
      <c r="B313" s="116"/>
      <c r="C313" s="117"/>
      <c r="D313" s="118"/>
      <c r="E313" s="103"/>
      <c r="F313" s="104"/>
    </row>
    <row r="314" spans="1:6" x14ac:dyDescent="0.2">
      <c r="A314" s="113"/>
      <c r="B314" s="116"/>
      <c r="C314" s="117"/>
      <c r="D314" s="118"/>
      <c r="E314" s="103"/>
      <c r="F314" s="104"/>
    </row>
    <row r="315" spans="1:6" x14ac:dyDescent="0.2">
      <c r="A315" s="113"/>
      <c r="B315" s="116"/>
      <c r="C315" s="117"/>
      <c r="D315" s="118"/>
      <c r="E315" s="103"/>
      <c r="F315" s="104"/>
    </row>
    <row r="316" spans="1:6" x14ac:dyDescent="0.2">
      <c r="A316" s="113"/>
      <c r="B316" s="116"/>
      <c r="C316" s="117"/>
      <c r="D316" s="118"/>
      <c r="E316" s="103"/>
      <c r="F316" s="104"/>
    </row>
    <row r="317" spans="1:6" x14ac:dyDescent="0.2">
      <c r="A317" s="113"/>
      <c r="B317" s="116"/>
      <c r="C317" s="117"/>
      <c r="D317" s="118"/>
      <c r="E317" s="103"/>
      <c r="F317" s="104"/>
    </row>
    <row r="318" spans="1:6" x14ac:dyDescent="0.2">
      <c r="A318" s="113"/>
      <c r="B318" s="116"/>
      <c r="C318" s="117"/>
      <c r="D318" s="118"/>
      <c r="E318" s="103"/>
      <c r="F318" s="104"/>
    </row>
    <row r="319" spans="1:6" x14ac:dyDescent="0.2">
      <c r="A319" s="113"/>
      <c r="B319" s="116"/>
      <c r="C319" s="117"/>
      <c r="D319" s="118"/>
      <c r="E319" s="103"/>
      <c r="F319" s="104"/>
    </row>
    <row r="320" spans="1:6" x14ac:dyDescent="0.2">
      <c r="A320" s="113"/>
      <c r="B320" s="116"/>
      <c r="C320" s="117"/>
      <c r="D320" s="118"/>
      <c r="E320" s="103"/>
      <c r="F320" s="104"/>
    </row>
    <row r="321" spans="1:6" x14ac:dyDescent="0.2">
      <c r="A321" s="113"/>
      <c r="B321" s="116"/>
      <c r="C321" s="117"/>
      <c r="D321" s="118"/>
      <c r="E321" s="103"/>
      <c r="F321" s="104"/>
    </row>
    <row r="322" spans="1:6" x14ac:dyDescent="0.2">
      <c r="A322" s="113"/>
      <c r="B322" s="116"/>
      <c r="C322" s="117"/>
      <c r="D322" s="118"/>
      <c r="E322" s="103"/>
      <c r="F322" s="104"/>
    </row>
    <row r="323" spans="1:6" x14ac:dyDescent="0.2">
      <c r="A323" s="113"/>
      <c r="B323" s="116"/>
      <c r="C323" s="117"/>
      <c r="D323" s="118"/>
      <c r="E323" s="103"/>
      <c r="F323" s="104"/>
    </row>
    <row r="324" spans="1:6" x14ac:dyDescent="0.2">
      <c r="A324" s="113"/>
      <c r="B324" s="116"/>
      <c r="C324" s="117"/>
      <c r="D324" s="118"/>
      <c r="E324" s="103"/>
      <c r="F324" s="104"/>
    </row>
    <row r="325" spans="1:6" x14ac:dyDescent="0.2">
      <c r="A325" s="113"/>
      <c r="B325" s="116"/>
      <c r="C325" s="117"/>
      <c r="D325" s="118"/>
      <c r="E325" s="103"/>
      <c r="F325" s="104"/>
    </row>
    <row r="326" spans="1:6" x14ac:dyDescent="0.2">
      <c r="A326" s="113"/>
      <c r="B326" s="116"/>
      <c r="C326" s="117"/>
      <c r="D326" s="118"/>
      <c r="E326" s="103"/>
      <c r="F326" s="104"/>
    </row>
    <row r="327" spans="1:6" x14ac:dyDescent="0.2">
      <c r="A327" s="113"/>
      <c r="B327" s="116"/>
      <c r="C327" s="117"/>
      <c r="D327" s="118"/>
      <c r="E327" s="103"/>
      <c r="F327" s="104"/>
    </row>
    <row r="328" spans="1:6" x14ac:dyDescent="0.2">
      <c r="A328" s="113"/>
      <c r="B328" s="116"/>
      <c r="C328" s="117"/>
      <c r="D328" s="118"/>
      <c r="E328" s="103"/>
      <c r="F328" s="104"/>
    </row>
    <row r="329" spans="1:6" x14ac:dyDescent="0.2">
      <c r="A329" s="113"/>
      <c r="B329" s="116"/>
      <c r="C329" s="117"/>
      <c r="D329" s="118"/>
      <c r="E329" s="103"/>
      <c r="F329" s="104"/>
    </row>
    <row r="330" spans="1:6" x14ac:dyDescent="0.2">
      <c r="A330" s="113"/>
      <c r="B330" s="116"/>
      <c r="C330" s="117"/>
      <c r="D330" s="118"/>
      <c r="E330" s="103"/>
      <c r="F330" s="104"/>
    </row>
    <row r="331" spans="1:6" x14ac:dyDescent="0.2">
      <c r="A331" s="113"/>
      <c r="B331" s="116"/>
      <c r="C331" s="117"/>
      <c r="D331" s="118"/>
      <c r="E331" s="103"/>
      <c r="F331" s="104"/>
    </row>
    <row r="332" spans="1:6" x14ac:dyDescent="0.2">
      <c r="A332" s="113"/>
      <c r="B332" s="116"/>
      <c r="C332" s="117"/>
      <c r="D332" s="118"/>
      <c r="E332" s="103"/>
      <c r="F332" s="104"/>
    </row>
    <row r="333" spans="1:6" x14ac:dyDescent="0.2">
      <c r="A333" s="113"/>
      <c r="B333" s="116"/>
      <c r="C333" s="117"/>
      <c r="D333" s="118"/>
      <c r="E333" s="103"/>
      <c r="F333" s="104"/>
    </row>
    <row r="334" spans="1:6" x14ac:dyDescent="0.2">
      <c r="A334" s="113"/>
      <c r="B334" s="116"/>
      <c r="C334" s="117"/>
      <c r="D334" s="118"/>
      <c r="E334" s="103"/>
      <c r="F334" s="104"/>
    </row>
    <row r="335" spans="1:6" x14ac:dyDescent="0.2">
      <c r="A335" s="113"/>
      <c r="B335" s="116"/>
      <c r="C335" s="117"/>
      <c r="D335" s="118"/>
      <c r="E335" s="103"/>
      <c r="F335" s="104"/>
    </row>
    <row r="336" spans="1:6" x14ac:dyDescent="0.2">
      <c r="A336" s="113"/>
      <c r="B336" s="116"/>
      <c r="C336" s="117"/>
      <c r="D336" s="118"/>
      <c r="E336" s="103"/>
      <c r="F336" s="104"/>
    </row>
    <row r="337" spans="1:6" x14ac:dyDescent="0.2">
      <c r="A337" s="113"/>
      <c r="B337" s="116"/>
      <c r="C337" s="117"/>
      <c r="D337" s="118"/>
      <c r="E337" s="103"/>
      <c r="F337" s="104"/>
    </row>
    <row r="338" spans="1:6" x14ac:dyDescent="0.2">
      <c r="A338" s="113"/>
      <c r="B338" s="116"/>
      <c r="C338" s="117"/>
      <c r="D338" s="118"/>
      <c r="E338" s="103"/>
      <c r="F338" s="104"/>
    </row>
    <row r="339" spans="1:6" x14ac:dyDescent="0.2">
      <c r="A339" s="113"/>
      <c r="B339" s="116"/>
      <c r="C339" s="117"/>
      <c r="D339" s="118"/>
      <c r="E339" s="103"/>
      <c r="F339" s="104"/>
    </row>
    <row r="340" spans="1:6" x14ac:dyDescent="0.2">
      <c r="A340" s="113"/>
      <c r="B340" s="116"/>
      <c r="C340" s="117"/>
      <c r="D340" s="118"/>
      <c r="E340" s="103"/>
      <c r="F340" s="104"/>
    </row>
    <row r="341" spans="1:6" x14ac:dyDescent="0.2">
      <c r="A341" s="113"/>
      <c r="B341" s="116"/>
      <c r="C341" s="117"/>
      <c r="D341" s="118"/>
      <c r="E341" s="103"/>
      <c r="F341" s="104"/>
    </row>
    <row r="342" spans="1:6" x14ac:dyDescent="0.2">
      <c r="A342" s="113"/>
      <c r="B342" s="116"/>
      <c r="C342" s="117"/>
      <c r="D342" s="118"/>
      <c r="E342" s="103"/>
      <c r="F342" s="104"/>
    </row>
    <row r="343" spans="1:6" x14ac:dyDescent="0.2">
      <c r="A343" s="113"/>
      <c r="B343" s="116"/>
      <c r="C343" s="117"/>
      <c r="D343" s="118"/>
      <c r="E343" s="103"/>
      <c r="F343" s="104"/>
    </row>
    <row r="344" spans="1:6" x14ac:dyDescent="0.2">
      <c r="A344" s="113"/>
      <c r="B344" s="116"/>
      <c r="C344" s="117"/>
      <c r="D344" s="118"/>
      <c r="E344" s="103"/>
      <c r="F344" s="104"/>
    </row>
    <row r="345" spans="1:6" x14ac:dyDescent="0.2">
      <c r="A345" s="113"/>
      <c r="B345" s="116"/>
      <c r="C345" s="117"/>
      <c r="D345" s="118"/>
      <c r="E345" s="103"/>
      <c r="F345" s="104"/>
    </row>
    <row r="346" spans="1:6" x14ac:dyDescent="0.2">
      <c r="A346" s="113"/>
      <c r="B346" s="116"/>
      <c r="C346" s="117"/>
      <c r="D346" s="118"/>
      <c r="E346" s="103"/>
      <c r="F346" s="104"/>
    </row>
    <row r="347" spans="1:6" x14ac:dyDescent="0.2">
      <c r="A347" s="113"/>
      <c r="B347" s="116"/>
      <c r="C347" s="117"/>
      <c r="D347" s="118"/>
      <c r="E347" s="103"/>
      <c r="F347" s="104"/>
    </row>
    <row r="348" spans="1:6" x14ac:dyDescent="0.2">
      <c r="A348" s="113"/>
      <c r="B348" s="116"/>
      <c r="C348" s="117"/>
      <c r="D348" s="118"/>
      <c r="E348" s="103"/>
      <c r="F348" s="104"/>
    </row>
    <row r="349" spans="1:6" x14ac:dyDescent="0.2">
      <c r="A349" s="113"/>
      <c r="B349" s="116"/>
      <c r="C349" s="117"/>
      <c r="D349" s="118"/>
      <c r="E349" s="103"/>
      <c r="F349" s="104"/>
    </row>
    <row r="350" spans="1:6" x14ac:dyDescent="0.2">
      <c r="A350" s="113"/>
      <c r="B350" s="116"/>
      <c r="C350" s="117"/>
      <c r="D350" s="118"/>
      <c r="E350" s="103"/>
      <c r="F350" s="104"/>
    </row>
    <row r="351" spans="1:6" x14ac:dyDescent="0.2">
      <c r="A351" s="113"/>
      <c r="B351" s="116"/>
      <c r="C351" s="117"/>
      <c r="D351" s="118"/>
      <c r="E351" s="103"/>
      <c r="F351" s="104"/>
    </row>
    <row r="352" spans="1:6" x14ac:dyDescent="0.2">
      <c r="A352" s="113"/>
      <c r="B352" s="116"/>
      <c r="C352" s="117"/>
      <c r="D352" s="118"/>
      <c r="E352" s="103"/>
      <c r="F352" s="104"/>
    </row>
    <row r="353" spans="1:6" x14ac:dyDescent="0.2">
      <c r="A353" s="113"/>
      <c r="B353" s="116"/>
      <c r="C353" s="117"/>
      <c r="D353" s="118"/>
      <c r="E353" s="103"/>
      <c r="F353" s="104"/>
    </row>
    <row r="354" spans="1:6" x14ac:dyDescent="0.2">
      <c r="A354" s="113"/>
      <c r="B354" s="116"/>
      <c r="C354" s="117"/>
      <c r="D354" s="118"/>
      <c r="E354" s="103"/>
      <c r="F354" s="104"/>
    </row>
    <row r="355" spans="1:6" x14ac:dyDescent="0.2">
      <c r="A355" s="113"/>
      <c r="B355" s="116"/>
      <c r="C355" s="117"/>
      <c r="D355" s="118"/>
      <c r="E355" s="103"/>
      <c r="F355" s="104"/>
    </row>
    <row r="356" spans="1:6" x14ac:dyDescent="0.2">
      <c r="A356" s="113"/>
      <c r="B356" s="116"/>
      <c r="C356" s="117"/>
      <c r="D356" s="118"/>
      <c r="E356" s="103"/>
      <c r="F356" s="104"/>
    </row>
    <row r="357" spans="1:6" x14ac:dyDescent="0.2">
      <c r="A357" s="113"/>
      <c r="B357" s="116"/>
      <c r="C357" s="117"/>
      <c r="D357" s="118"/>
      <c r="E357" s="103"/>
      <c r="F357" s="104"/>
    </row>
    <row r="358" spans="1:6" x14ac:dyDescent="0.2">
      <c r="A358" s="113"/>
      <c r="B358" s="116"/>
      <c r="C358" s="117"/>
      <c r="D358" s="118"/>
      <c r="E358" s="103"/>
      <c r="F358" s="104"/>
    </row>
    <row r="359" spans="1:6" x14ac:dyDescent="0.2">
      <c r="A359" s="113"/>
      <c r="B359" s="116"/>
      <c r="C359" s="117"/>
      <c r="D359" s="118"/>
      <c r="E359" s="103"/>
      <c r="F359" s="104"/>
    </row>
    <row r="360" spans="1:6" x14ac:dyDescent="0.2">
      <c r="A360" s="113"/>
      <c r="B360" s="116"/>
      <c r="C360" s="117"/>
      <c r="D360" s="118"/>
      <c r="E360" s="103"/>
      <c r="F360" s="104"/>
    </row>
    <row r="361" spans="1:6" x14ac:dyDescent="0.2">
      <c r="A361" s="113"/>
      <c r="B361" s="116"/>
      <c r="C361" s="117"/>
      <c r="D361" s="118"/>
      <c r="E361" s="103"/>
      <c r="F361" s="104"/>
    </row>
    <row r="362" spans="1:6" x14ac:dyDescent="0.2">
      <c r="A362" s="113"/>
      <c r="B362" s="116"/>
      <c r="C362" s="117"/>
      <c r="D362" s="118"/>
      <c r="E362" s="103"/>
      <c r="F362" s="104"/>
    </row>
    <row r="363" spans="1:6" x14ac:dyDescent="0.2">
      <c r="A363" s="113"/>
      <c r="B363" s="116"/>
      <c r="C363" s="117"/>
      <c r="D363" s="118"/>
      <c r="E363" s="103"/>
      <c r="F363" s="104"/>
    </row>
    <row r="364" spans="1:6" x14ac:dyDescent="0.2">
      <c r="A364" s="113"/>
      <c r="B364" s="116"/>
      <c r="C364" s="117"/>
      <c r="D364" s="118"/>
      <c r="E364" s="103"/>
      <c r="F364" s="104"/>
    </row>
    <row r="365" spans="1:6" x14ac:dyDescent="0.2">
      <c r="A365" s="113"/>
      <c r="B365" s="116"/>
      <c r="C365" s="117"/>
      <c r="D365" s="118"/>
      <c r="E365" s="103"/>
      <c r="F365" s="104"/>
    </row>
    <row r="366" spans="1:6" x14ac:dyDescent="0.2">
      <c r="A366" s="113"/>
      <c r="B366" s="116"/>
      <c r="C366" s="117"/>
      <c r="D366" s="118"/>
      <c r="E366" s="103"/>
      <c r="F366" s="104"/>
    </row>
    <row r="367" spans="1:6" x14ac:dyDescent="0.2">
      <c r="A367" s="113"/>
      <c r="B367" s="116"/>
      <c r="C367" s="117"/>
      <c r="D367" s="118"/>
      <c r="E367" s="103"/>
      <c r="F367" s="104"/>
    </row>
    <row r="368" spans="1:6" x14ac:dyDescent="0.2">
      <c r="A368" s="113"/>
      <c r="B368" s="116"/>
      <c r="C368" s="117"/>
      <c r="D368" s="118"/>
      <c r="E368" s="103"/>
      <c r="F368" s="104"/>
    </row>
    <row r="369" spans="1:6" x14ac:dyDescent="0.2">
      <c r="A369" s="113"/>
      <c r="B369" s="116"/>
      <c r="C369" s="117"/>
      <c r="D369" s="118"/>
      <c r="E369" s="103"/>
      <c r="F369" s="104"/>
    </row>
    <row r="370" spans="1:6" x14ac:dyDescent="0.2">
      <c r="A370" s="113"/>
      <c r="B370" s="116"/>
      <c r="C370" s="117"/>
      <c r="D370" s="118"/>
      <c r="E370" s="103"/>
      <c r="F370" s="104"/>
    </row>
    <row r="371" spans="1:6" x14ac:dyDescent="0.2">
      <c r="A371" s="113"/>
      <c r="B371" s="116"/>
      <c r="C371" s="117"/>
      <c r="D371" s="118"/>
      <c r="E371" s="103"/>
      <c r="F371" s="104"/>
    </row>
    <row r="372" spans="1:6" x14ac:dyDescent="0.2">
      <c r="A372" s="113"/>
      <c r="B372" s="116"/>
      <c r="C372" s="117"/>
      <c r="D372" s="118"/>
      <c r="E372" s="103"/>
      <c r="F372" s="104"/>
    </row>
    <row r="373" spans="1:6" x14ac:dyDescent="0.2">
      <c r="A373" s="113"/>
      <c r="B373" s="116"/>
      <c r="C373" s="117"/>
      <c r="D373" s="118"/>
      <c r="E373" s="103"/>
      <c r="F373" s="104"/>
    </row>
    <row r="374" spans="1:6" x14ac:dyDescent="0.2">
      <c r="A374" s="113"/>
      <c r="B374" s="116"/>
      <c r="C374" s="117"/>
      <c r="D374" s="118"/>
      <c r="E374" s="103"/>
      <c r="F374" s="104"/>
    </row>
    <row r="375" spans="1:6" x14ac:dyDescent="0.2">
      <c r="A375" s="113"/>
      <c r="B375" s="116"/>
      <c r="C375" s="117"/>
      <c r="D375" s="118"/>
      <c r="E375" s="103"/>
      <c r="F375" s="104"/>
    </row>
    <row r="376" spans="1:6" x14ac:dyDescent="0.2">
      <c r="A376" s="113"/>
      <c r="B376" s="116"/>
      <c r="C376" s="117"/>
      <c r="D376" s="118"/>
      <c r="E376" s="103"/>
      <c r="F376" s="104"/>
    </row>
    <row r="377" spans="1:6" x14ac:dyDescent="0.2">
      <c r="A377" s="113"/>
      <c r="B377" s="116"/>
      <c r="C377" s="117"/>
      <c r="D377" s="118"/>
      <c r="E377" s="103"/>
      <c r="F377" s="104"/>
    </row>
    <row r="378" spans="1:6" x14ac:dyDescent="0.2">
      <c r="A378" s="113"/>
      <c r="B378" s="116"/>
      <c r="C378" s="117"/>
      <c r="D378" s="118"/>
      <c r="E378" s="103"/>
      <c r="F378" s="104"/>
    </row>
    <row r="379" spans="1:6" x14ac:dyDescent="0.2">
      <c r="A379" s="113"/>
      <c r="B379" s="116"/>
      <c r="C379" s="117"/>
      <c r="D379" s="118"/>
      <c r="E379" s="103"/>
      <c r="F379" s="104"/>
    </row>
    <row r="380" spans="1:6" x14ac:dyDescent="0.2">
      <c r="A380" s="113"/>
      <c r="B380" s="116"/>
      <c r="C380" s="117"/>
      <c r="D380" s="118"/>
      <c r="E380" s="103"/>
      <c r="F380" s="104"/>
    </row>
    <row r="381" spans="1:6" x14ac:dyDescent="0.2">
      <c r="A381" s="113"/>
      <c r="B381" s="116"/>
      <c r="C381" s="117"/>
      <c r="D381" s="118"/>
      <c r="E381" s="103"/>
      <c r="F381" s="104"/>
    </row>
    <row r="382" spans="1:6" x14ac:dyDescent="0.2">
      <c r="A382" s="113"/>
      <c r="B382" s="116"/>
      <c r="C382" s="117"/>
      <c r="D382" s="118"/>
      <c r="E382" s="103"/>
      <c r="F382" s="104"/>
    </row>
    <row r="383" spans="1:6" x14ac:dyDescent="0.2">
      <c r="A383" s="113"/>
      <c r="B383" s="116"/>
      <c r="C383" s="117"/>
      <c r="D383" s="118"/>
      <c r="E383" s="103"/>
      <c r="F383" s="104"/>
    </row>
    <row r="384" spans="1:6" x14ac:dyDescent="0.2">
      <c r="A384" s="113"/>
      <c r="B384" s="116"/>
      <c r="C384" s="117"/>
      <c r="D384" s="118"/>
      <c r="E384" s="103"/>
      <c r="F384" s="104"/>
    </row>
    <row r="385" spans="1:6" x14ac:dyDescent="0.2">
      <c r="A385" s="113"/>
      <c r="B385" s="116"/>
      <c r="C385" s="117"/>
      <c r="D385" s="118"/>
      <c r="E385" s="103"/>
      <c r="F385" s="104"/>
    </row>
    <row r="386" spans="1:6" x14ac:dyDescent="0.2">
      <c r="A386" s="113"/>
      <c r="B386" s="116"/>
      <c r="C386" s="117"/>
      <c r="D386" s="118"/>
      <c r="E386" s="103"/>
      <c r="F386" s="104"/>
    </row>
    <row r="387" spans="1:6" x14ac:dyDescent="0.2">
      <c r="A387" s="113"/>
      <c r="B387" s="116"/>
      <c r="C387" s="117"/>
      <c r="D387" s="118"/>
      <c r="E387" s="103"/>
      <c r="F387" s="104"/>
    </row>
    <row r="388" spans="1:6" x14ac:dyDescent="0.2">
      <c r="A388" s="113"/>
      <c r="B388" s="116"/>
      <c r="C388" s="117"/>
      <c r="D388" s="118"/>
      <c r="E388" s="103"/>
      <c r="F388" s="104"/>
    </row>
    <row r="389" spans="1:6" x14ac:dyDescent="0.2">
      <c r="A389" s="113"/>
      <c r="B389" s="116"/>
      <c r="C389" s="117"/>
      <c r="D389" s="118"/>
      <c r="E389" s="103"/>
      <c r="F389" s="104"/>
    </row>
    <row r="390" spans="1:6" x14ac:dyDescent="0.2">
      <c r="A390" s="113"/>
      <c r="B390" s="116"/>
      <c r="C390" s="117"/>
      <c r="D390" s="118"/>
      <c r="E390" s="103"/>
      <c r="F390" s="104"/>
    </row>
    <row r="391" spans="1:6" x14ac:dyDescent="0.2">
      <c r="A391" s="113"/>
      <c r="B391" s="116"/>
      <c r="C391" s="117"/>
      <c r="D391" s="118"/>
      <c r="E391" s="103"/>
      <c r="F391" s="104"/>
    </row>
    <row r="392" spans="1:6" x14ac:dyDescent="0.2">
      <c r="A392" s="113"/>
      <c r="B392" s="116"/>
      <c r="C392" s="117"/>
      <c r="D392" s="118"/>
      <c r="E392" s="103"/>
      <c r="F392" s="104"/>
    </row>
    <row r="393" spans="1:6" x14ac:dyDescent="0.2">
      <c r="A393" s="113"/>
      <c r="B393" s="116"/>
      <c r="C393" s="117"/>
      <c r="D393" s="118"/>
      <c r="E393" s="103"/>
      <c r="F393" s="104"/>
    </row>
    <row r="394" spans="1:6" x14ac:dyDescent="0.2">
      <c r="A394" s="113"/>
      <c r="B394" s="116"/>
      <c r="C394" s="117"/>
      <c r="D394" s="118"/>
      <c r="E394" s="103"/>
      <c r="F394" s="104"/>
    </row>
    <row r="395" spans="1:6" x14ac:dyDescent="0.2">
      <c r="A395" s="113"/>
      <c r="B395" s="116"/>
      <c r="C395" s="117"/>
      <c r="D395" s="118"/>
      <c r="E395" s="103"/>
      <c r="F395" s="104"/>
    </row>
    <row r="396" spans="1:6" x14ac:dyDescent="0.2">
      <c r="A396" s="113"/>
      <c r="B396" s="116"/>
      <c r="C396" s="117"/>
      <c r="D396" s="118"/>
      <c r="E396" s="103"/>
      <c r="F396" s="104"/>
    </row>
    <row r="397" spans="1:6" x14ac:dyDescent="0.2">
      <c r="A397" s="113"/>
      <c r="B397" s="116"/>
      <c r="C397" s="117"/>
      <c r="D397" s="118"/>
      <c r="E397" s="103"/>
      <c r="F397" s="104"/>
    </row>
    <row r="398" spans="1:6" x14ac:dyDescent="0.2">
      <c r="A398" s="113"/>
      <c r="B398" s="116"/>
      <c r="C398" s="117"/>
      <c r="D398" s="118"/>
      <c r="E398" s="103"/>
      <c r="F398" s="104"/>
    </row>
    <row r="399" spans="1:6" x14ac:dyDescent="0.2">
      <c r="A399" s="113"/>
      <c r="B399" s="116"/>
      <c r="C399" s="117"/>
      <c r="D399" s="118"/>
      <c r="E399" s="103"/>
      <c r="F399" s="104"/>
    </row>
    <row r="400" spans="1:6" x14ac:dyDescent="0.2">
      <c r="A400" s="113"/>
      <c r="B400" s="116"/>
      <c r="C400" s="117"/>
      <c r="D400" s="118"/>
      <c r="E400" s="103"/>
      <c r="F400" s="104"/>
    </row>
    <row r="401" spans="1:6" x14ac:dyDescent="0.2">
      <c r="A401" s="113"/>
      <c r="B401" s="116"/>
      <c r="C401" s="117"/>
      <c r="D401" s="118"/>
      <c r="E401" s="103"/>
      <c r="F401" s="104"/>
    </row>
    <row r="402" spans="1:6" x14ac:dyDescent="0.2">
      <c r="A402" s="113"/>
      <c r="B402" s="116"/>
      <c r="C402" s="117"/>
      <c r="D402" s="118"/>
      <c r="E402" s="103"/>
      <c r="F402" s="104"/>
    </row>
    <row r="403" spans="1:6" x14ac:dyDescent="0.2">
      <c r="A403" s="113"/>
      <c r="B403" s="116"/>
      <c r="C403" s="117"/>
      <c r="D403" s="118"/>
      <c r="E403" s="103"/>
      <c r="F403" s="104"/>
    </row>
    <row r="404" spans="1:6" x14ac:dyDescent="0.2">
      <c r="A404" s="113"/>
      <c r="B404" s="116"/>
      <c r="C404" s="117"/>
      <c r="D404" s="118"/>
      <c r="E404" s="103"/>
      <c r="F404" s="104"/>
    </row>
    <row r="405" spans="1:6" x14ac:dyDescent="0.2">
      <c r="A405" s="113"/>
      <c r="B405" s="116"/>
      <c r="C405" s="117"/>
      <c r="D405" s="118"/>
      <c r="E405" s="103"/>
      <c r="F405" s="104"/>
    </row>
    <row r="406" spans="1:6" x14ac:dyDescent="0.2">
      <c r="A406" s="113"/>
      <c r="B406" s="116"/>
      <c r="C406" s="117"/>
      <c r="D406" s="118"/>
      <c r="E406" s="103"/>
      <c r="F406" s="104"/>
    </row>
    <row r="407" spans="1:6" x14ac:dyDescent="0.2">
      <c r="A407" s="113"/>
      <c r="B407" s="116"/>
      <c r="C407" s="117"/>
      <c r="D407" s="118"/>
      <c r="E407" s="103"/>
      <c r="F407" s="104"/>
    </row>
    <row r="408" spans="1:6" x14ac:dyDescent="0.2">
      <c r="A408" s="113"/>
      <c r="B408" s="116"/>
      <c r="C408" s="117"/>
      <c r="D408" s="118"/>
      <c r="E408" s="103"/>
      <c r="F408" s="104"/>
    </row>
    <row r="409" spans="1:6" x14ac:dyDescent="0.2">
      <c r="A409" s="113"/>
      <c r="B409" s="116"/>
      <c r="C409" s="117"/>
      <c r="D409" s="118"/>
      <c r="E409" s="103"/>
      <c r="F409" s="104"/>
    </row>
    <row r="410" spans="1:6" x14ac:dyDescent="0.2">
      <c r="A410" s="113"/>
      <c r="B410" s="131"/>
      <c r="C410" s="117"/>
      <c r="D410" s="118"/>
      <c r="E410" s="103"/>
      <c r="F410" s="104"/>
    </row>
    <row r="411" spans="1:6" x14ac:dyDescent="0.2">
      <c r="A411" s="113"/>
      <c r="B411" s="116"/>
      <c r="C411" s="117"/>
      <c r="D411" s="118"/>
      <c r="E411" s="103"/>
      <c r="F411" s="104"/>
    </row>
    <row r="412" spans="1:6" x14ac:dyDescent="0.2">
      <c r="A412" s="113"/>
      <c r="B412" s="116"/>
      <c r="C412" s="117"/>
      <c r="D412" s="118"/>
      <c r="E412" s="103"/>
      <c r="F412" s="104"/>
    </row>
    <row r="413" spans="1:6" x14ac:dyDescent="0.2">
      <c r="A413" s="113"/>
      <c r="B413" s="116"/>
      <c r="C413" s="117"/>
      <c r="D413" s="118"/>
      <c r="E413" s="103"/>
      <c r="F413" s="104"/>
    </row>
    <row r="414" spans="1:6" x14ac:dyDescent="0.2">
      <c r="A414" s="113"/>
      <c r="B414" s="116"/>
      <c r="C414" s="117"/>
      <c r="D414" s="118"/>
      <c r="E414" s="103"/>
      <c r="F414" s="104"/>
    </row>
    <row r="415" spans="1:6" x14ac:dyDescent="0.2">
      <c r="A415" s="113"/>
      <c r="B415" s="116"/>
      <c r="C415" s="117"/>
      <c r="D415" s="118"/>
      <c r="E415" s="103"/>
      <c r="F415" s="104"/>
    </row>
    <row r="416" spans="1:6" x14ac:dyDescent="0.2">
      <c r="A416" s="113"/>
      <c r="B416" s="116"/>
      <c r="C416" s="117"/>
      <c r="D416" s="118"/>
      <c r="E416" s="103"/>
      <c r="F416" s="104"/>
    </row>
    <row r="417" spans="1:6" x14ac:dyDescent="0.2">
      <c r="A417" s="113"/>
      <c r="B417" s="116"/>
      <c r="C417" s="117"/>
      <c r="D417" s="118"/>
      <c r="E417" s="103"/>
      <c r="F417" s="104"/>
    </row>
    <row r="418" spans="1:6" x14ac:dyDescent="0.2">
      <c r="A418" s="113"/>
      <c r="B418" s="116"/>
      <c r="C418" s="117"/>
      <c r="D418" s="118"/>
      <c r="E418" s="103"/>
      <c r="F418" s="104"/>
    </row>
    <row r="419" spans="1:6" x14ac:dyDescent="0.2">
      <c r="A419" s="113"/>
      <c r="B419" s="116"/>
      <c r="C419" s="117"/>
      <c r="D419" s="118"/>
      <c r="E419" s="103"/>
      <c r="F419" s="104"/>
    </row>
    <row r="420" spans="1:6" x14ac:dyDescent="0.2">
      <c r="A420" s="113"/>
      <c r="B420" s="116"/>
      <c r="C420" s="117"/>
      <c r="D420" s="118"/>
      <c r="E420" s="103"/>
      <c r="F420" s="104"/>
    </row>
    <row r="421" spans="1:6" x14ac:dyDescent="0.2">
      <c r="A421" s="113"/>
      <c r="B421" s="116"/>
      <c r="C421" s="117"/>
      <c r="D421" s="118"/>
      <c r="E421" s="103"/>
      <c r="F421" s="104"/>
    </row>
    <row r="422" spans="1:6" x14ac:dyDescent="0.2">
      <c r="A422" s="113"/>
      <c r="B422" s="116"/>
      <c r="C422" s="117"/>
      <c r="D422" s="118"/>
      <c r="E422" s="103"/>
      <c r="F422" s="104"/>
    </row>
    <row r="423" spans="1:6" x14ac:dyDescent="0.2">
      <c r="A423" s="113"/>
      <c r="B423" s="116"/>
      <c r="C423" s="117"/>
      <c r="D423" s="118"/>
      <c r="E423" s="103"/>
      <c r="F423" s="104"/>
    </row>
    <row r="424" spans="1:6" x14ac:dyDescent="0.2">
      <c r="A424" s="113"/>
      <c r="B424" s="116"/>
      <c r="C424" s="117"/>
      <c r="D424" s="118"/>
      <c r="E424" s="103"/>
      <c r="F424" s="104"/>
    </row>
    <row r="425" spans="1:6" x14ac:dyDescent="0.2">
      <c r="A425" s="113"/>
      <c r="B425" s="116"/>
      <c r="C425" s="117"/>
      <c r="D425" s="118"/>
      <c r="E425" s="103"/>
      <c r="F425" s="104"/>
    </row>
    <row r="426" spans="1:6" x14ac:dyDescent="0.2">
      <c r="A426" s="113"/>
      <c r="B426" s="116"/>
      <c r="C426" s="117"/>
      <c r="D426" s="118"/>
      <c r="E426" s="103"/>
      <c r="F426" s="104"/>
    </row>
    <row r="427" spans="1:6" x14ac:dyDescent="0.2">
      <c r="A427" s="113"/>
      <c r="B427" s="116"/>
      <c r="C427" s="117"/>
      <c r="D427" s="118"/>
      <c r="E427" s="103"/>
      <c r="F427" s="104"/>
    </row>
    <row r="428" spans="1:6" x14ac:dyDescent="0.2">
      <c r="A428" s="113"/>
      <c r="B428" s="116"/>
      <c r="C428" s="117"/>
      <c r="D428" s="118"/>
      <c r="E428" s="103"/>
      <c r="F428" s="104"/>
    </row>
    <row r="429" spans="1:6" x14ac:dyDescent="0.2">
      <c r="A429" s="113"/>
      <c r="B429" s="116"/>
      <c r="C429" s="117"/>
      <c r="D429" s="118"/>
      <c r="E429" s="103"/>
      <c r="F429" s="104"/>
    </row>
    <row r="430" spans="1:6" x14ac:dyDescent="0.2">
      <c r="A430" s="113"/>
      <c r="B430" s="116"/>
      <c r="C430" s="117"/>
      <c r="D430" s="118"/>
      <c r="E430" s="103"/>
      <c r="F430" s="104"/>
    </row>
    <row r="431" spans="1:6" x14ac:dyDescent="0.2">
      <c r="A431" s="113"/>
      <c r="B431" s="116"/>
      <c r="C431" s="117"/>
      <c r="D431" s="118"/>
      <c r="E431" s="103"/>
      <c r="F431" s="104"/>
    </row>
    <row r="432" spans="1:6" x14ac:dyDescent="0.2">
      <c r="A432" s="113"/>
      <c r="B432" s="116"/>
      <c r="C432" s="117"/>
      <c r="D432" s="118"/>
      <c r="E432" s="103"/>
      <c r="F432" s="104"/>
    </row>
    <row r="433" spans="1:6" x14ac:dyDescent="0.2">
      <c r="A433" s="113"/>
      <c r="B433" s="116"/>
      <c r="C433" s="117"/>
      <c r="D433" s="118"/>
      <c r="E433" s="103"/>
      <c r="F433" s="104"/>
    </row>
    <row r="434" spans="1:6" x14ac:dyDescent="0.2">
      <c r="A434" s="113"/>
      <c r="B434" s="116"/>
      <c r="C434" s="117"/>
      <c r="D434" s="118"/>
      <c r="E434" s="103"/>
      <c r="F434" s="104"/>
    </row>
    <row r="435" spans="1:6" x14ac:dyDescent="0.2">
      <c r="A435" s="113"/>
      <c r="B435" s="116"/>
      <c r="C435" s="117"/>
      <c r="D435" s="118"/>
      <c r="E435" s="103"/>
      <c r="F435" s="104"/>
    </row>
    <row r="436" spans="1:6" x14ac:dyDescent="0.2">
      <c r="A436" s="113"/>
      <c r="B436" s="116"/>
      <c r="C436" s="117"/>
      <c r="D436" s="118"/>
      <c r="E436" s="103"/>
      <c r="F436" s="104"/>
    </row>
    <row r="437" spans="1:6" x14ac:dyDescent="0.2">
      <c r="A437" s="113"/>
      <c r="B437" s="116"/>
      <c r="C437" s="117"/>
      <c r="D437" s="118"/>
      <c r="E437" s="103"/>
      <c r="F437" s="104"/>
    </row>
    <row r="438" spans="1:6" x14ac:dyDescent="0.2">
      <c r="A438" s="113"/>
      <c r="B438" s="116"/>
      <c r="C438" s="117"/>
      <c r="D438" s="118"/>
      <c r="E438" s="103"/>
      <c r="F438" s="104"/>
    </row>
    <row r="439" spans="1:6" x14ac:dyDescent="0.2">
      <c r="A439" s="113"/>
      <c r="B439" s="116"/>
      <c r="C439" s="117"/>
      <c r="D439" s="118"/>
      <c r="E439" s="103"/>
      <c r="F439" s="104"/>
    </row>
    <row r="440" spans="1:6" x14ac:dyDescent="0.2">
      <c r="A440" s="113"/>
      <c r="B440" s="116"/>
      <c r="C440" s="117"/>
      <c r="D440" s="118"/>
      <c r="E440" s="103"/>
      <c r="F440" s="104"/>
    </row>
    <row r="441" spans="1:6" x14ac:dyDescent="0.2">
      <c r="A441" s="113"/>
      <c r="B441" s="116"/>
      <c r="C441" s="117"/>
      <c r="D441" s="118"/>
      <c r="E441" s="103"/>
      <c r="F441" s="104"/>
    </row>
    <row r="442" spans="1:6" x14ac:dyDescent="0.2">
      <c r="A442" s="113"/>
      <c r="B442" s="116"/>
      <c r="C442" s="117"/>
      <c r="D442" s="118"/>
      <c r="E442" s="103"/>
      <c r="F442" s="104"/>
    </row>
    <row r="443" spans="1:6" x14ac:dyDescent="0.2">
      <c r="A443" s="113"/>
      <c r="B443" s="116"/>
      <c r="C443" s="117"/>
      <c r="D443" s="118"/>
      <c r="E443" s="103"/>
      <c r="F443" s="104"/>
    </row>
    <row r="444" spans="1:6" x14ac:dyDescent="0.2">
      <c r="A444" s="113"/>
      <c r="B444" s="116"/>
      <c r="C444" s="117"/>
      <c r="D444" s="118"/>
      <c r="E444" s="103"/>
      <c r="F444" s="104"/>
    </row>
    <row r="445" spans="1:6" x14ac:dyDescent="0.2">
      <c r="A445" s="113"/>
      <c r="B445" s="116"/>
      <c r="C445" s="117"/>
      <c r="D445" s="118"/>
      <c r="E445" s="103"/>
      <c r="F445" s="104"/>
    </row>
    <row r="446" spans="1:6" x14ac:dyDescent="0.2">
      <c r="A446" s="113"/>
      <c r="B446" s="116"/>
      <c r="C446" s="117"/>
      <c r="D446" s="118"/>
      <c r="E446" s="103"/>
      <c r="F446" s="104"/>
    </row>
    <row r="447" spans="1:6" x14ac:dyDescent="0.2">
      <c r="A447" s="113"/>
      <c r="B447" s="116"/>
      <c r="C447" s="117"/>
      <c r="D447" s="118"/>
      <c r="E447" s="103"/>
      <c r="F447" s="104"/>
    </row>
    <row r="448" spans="1:6" x14ac:dyDescent="0.2">
      <c r="A448" s="113"/>
      <c r="B448" s="116"/>
      <c r="C448" s="117"/>
      <c r="D448" s="118"/>
      <c r="E448" s="103"/>
      <c r="F448" s="104"/>
    </row>
    <row r="449" spans="1:6" x14ac:dyDescent="0.2">
      <c r="A449" s="113"/>
      <c r="B449" s="116"/>
      <c r="C449" s="117"/>
      <c r="D449" s="118"/>
      <c r="E449" s="103"/>
      <c r="F449" s="104"/>
    </row>
    <row r="450" spans="1:6" x14ac:dyDescent="0.2">
      <c r="A450" s="113"/>
      <c r="B450" s="116"/>
      <c r="C450" s="117"/>
      <c r="D450" s="118"/>
      <c r="E450" s="103"/>
      <c r="F450" s="104"/>
    </row>
    <row r="451" spans="1:6" x14ac:dyDescent="0.2">
      <c r="A451" s="113"/>
      <c r="B451" s="116"/>
      <c r="C451" s="117"/>
      <c r="D451" s="118"/>
      <c r="E451" s="103"/>
      <c r="F451" s="104"/>
    </row>
    <row r="452" spans="1:6" x14ac:dyDescent="0.2">
      <c r="A452" s="113"/>
      <c r="B452" s="116"/>
      <c r="C452" s="117"/>
      <c r="D452" s="118"/>
      <c r="E452" s="103"/>
      <c r="F452" s="104"/>
    </row>
    <row r="453" spans="1:6" x14ac:dyDescent="0.2">
      <c r="A453" s="113"/>
      <c r="B453" s="116"/>
      <c r="C453" s="117"/>
      <c r="D453" s="118"/>
      <c r="E453" s="103"/>
      <c r="F453" s="104"/>
    </row>
    <row r="454" spans="1:6" x14ac:dyDescent="0.2">
      <c r="A454" s="113"/>
      <c r="B454" s="116"/>
      <c r="C454" s="117"/>
      <c r="D454" s="118"/>
      <c r="E454" s="103"/>
      <c r="F454" s="104"/>
    </row>
    <row r="455" spans="1:6" x14ac:dyDescent="0.2">
      <c r="A455" s="113"/>
      <c r="B455" s="116"/>
      <c r="C455" s="117"/>
      <c r="D455" s="118"/>
      <c r="E455" s="103"/>
      <c r="F455" s="104"/>
    </row>
    <row r="456" spans="1:6" x14ac:dyDescent="0.2">
      <c r="A456" s="113"/>
      <c r="B456" s="116"/>
      <c r="C456" s="117"/>
      <c r="D456" s="118"/>
      <c r="E456" s="103"/>
      <c r="F456" s="104"/>
    </row>
    <row r="457" spans="1:6" x14ac:dyDescent="0.2">
      <c r="A457" s="113"/>
      <c r="B457" s="116"/>
      <c r="C457" s="117"/>
      <c r="D457" s="118"/>
      <c r="E457" s="103"/>
      <c r="F457" s="104"/>
    </row>
    <row r="458" spans="1:6" x14ac:dyDescent="0.2">
      <c r="A458" s="113"/>
      <c r="B458" s="116"/>
      <c r="C458" s="117"/>
      <c r="D458" s="118"/>
      <c r="E458" s="103"/>
      <c r="F458" s="104"/>
    </row>
    <row r="459" spans="1:6" x14ac:dyDescent="0.2">
      <c r="A459" s="113"/>
      <c r="B459" s="116"/>
      <c r="C459" s="117"/>
      <c r="D459" s="118"/>
      <c r="E459" s="103"/>
      <c r="F459" s="104"/>
    </row>
    <row r="460" spans="1:6" x14ac:dyDescent="0.2">
      <c r="A460" s="113"/>
      <c r="B460" s="116"/>
      <c r="C460" s="117"/>
      <c r="D460" s="118"/>
      <c r="E460" s="103"/>
      <c r="F460" s="104"/>
    </row>
    <row r="461" spans="1:6" x14ac:dyDescent="0.2">
      <c r="A461" s="113"/>
      <c r="B461" s="116"/>
      <c r="C461" s="117"/>
      <c r="D461" s="118"/>
      <c r="E461" s="103"/>
      <c r="F461" s="104"/>
    </row>
    <row r="462" spans="1:6" x14ac:dyDescent="0.2">
      <c r="A462" s="113"/>
      <c r="B462" s="116"/>
      <c r="C462" s="117"/>
      <c r="D462" s="118"/>
      <c r="E462" s="103"/>
      <c r="F462" s="104"/>
    </row>
    <row r="463" spans="1:6" x14ac:dyDescent="0.2">
      <c r="A463" s="113"/>
      <c r="B463" s="116"/>
      <c r="C463" s="117"/>
      <c r="D463" s="118"/>
      <c r="E463" s="103"/>
      <c r="F463" s="104"/>
    </row>
    <row r="464" spans="1:6" x14ac:dyDescent="0.2">
      <c r="A464" s="113"/>
      <c r="B464" s="116"/>
      <c r="C464" s="117"/>
      <c r="D464" s="118"/>
      <c r="E464" s="103"/>
      <c r="F464" s="104"/>
    </row>
    <row r="465" spans="1:6" x14ac:dyDescent="0.2">
      <c r="A465" s="113"/>
      <c r="B465" s="116"/>
      <c r="C465" s="117"/>
      <c r="D465" s="118"/>
      <c r="E465" s="103"/>
      <c r="F465" s="104"/>
    </row>
    <row r="466" spans="1:6" x14ac:dyDescent="0.2">
      <c r="A466" s="113"/>
      <c r="B466" s="116"/>
      <c r="C466" s="117"/>
      <c r="D466" s="118"/>
      <c r="E466" s="103"/>
      <c r="F466" s="104"/>
    </row>
    <row r="467" spans="1:6" x14ac:dyDescent="0.2">
      <c r="A467" s="113"/>
      <c r="B467" s="116"/>
      <c r="C467" s="117"/>
      <c r="D467" s="118"/>
      <c r="E467" s="103"/>
      <c r="F467" s="104"/>
    </row>
    <row r="468" spans="1:6" x14ac:dyDescent="0.2">
      <c r="A468" s="113"/>
      <c r="B468" s="116"/>
      <c r="C468" s="117"/>
      <c r="D468" s="118"/>
      <c r="E468" s="103"/>
      <c r="F468" s="104"/>
    </row>
    <row r="469" spans="1:6" x14ac:dyDescent="0.2">
      <c r="A469" s="113"/>
      <c r="B469" s="116"/>
      <c r="C469" s="117"/>
      <c r="D469" s="118"/>
      <c r="E469" s="103"/>
      <c r="F469" s="104"/>
    </row>
    <row r="470" spans="1:6" x14ac:dyDescent="0.2">
      <c r="A470" s="113"/>
      <c r="B470" s="116"/>
      <c r="C470" s="117"/>
      <c r="D470" s="118"/>
      <c r="E470" s="103"/>
      <c r="F470" s="104"/>
    </row>
    <row r="471" spans="1:6" x14ac:dyDescent="0.2">
      <c r="A471" s="113"/>
      <c r="B471" s="116"/>
      <c r="C471" s="117"/>
      <c r="D471" s="118"/>
      <c r="E471" s="103"/>
      <c r="F471" s="104"/>
    </row>
    <row r="472" spans="1:6" x14ac:dyDescent="0.2">
      <c r="A472" s="113"/>
      <c r="B472" s="116"/>
      <c r="C472" s="117"/>
      <c r="D472" s="118"/>
      <c r="E472" s="103"/>
      <c r="F472" s="104"/>
    </row>
    <row r="473" spans="1:6" x14ac:dyDescent="0.2">
      <c r="A473" s="113"/>
      <c r="B473" s="116"/>
      <c r="C473" s="117"/>
      <c r="D473" s="118"/>
      <c r="E473" s="103"/>
      <c r="F473" s="104"/>
    </row>
    <row r="474" spans="1:6" x14ac:dyDescent="0.2">
      <c r="A474" s="113"/>
      <c r="B474" s="116"/>
      <c r="C474" s="117"/>
      <c r="D474" s="118"/>
      <c r="E474" s="103"/>
      <c r="F474" s="104"/>
    </row>
    <row r="475" spans="1:6" x14ac:dyDescent="0.2">
      <c r="A475" s="113"/>
      <c r="B475" s="116"/>
      <c r="C475" s="117"/>
      <c r="D475" s="118"/>
      <c r="E475" s="103"/>
      <c r="F475" s="104"/>
    </row>
    <row r="476" spans="1:6" x14ac:dyDescent="0.2">
      <c r="A476" s="113"/>
      <c r="B476" s="116"/>
      <c r="C476" s="117"/>
      <c r="D476" s="118"/>
      <c r="E476" s="103"/>
      <c r="F476" s="104"/>
    </row>
    <row r="477" spans="1:6" x14ac:dyDescent="0.2">
      <c r="A477" s="113"/>
      <c r="B477" s="116"/>
      <c r="C477" s="117"/>
      <c r="D477" s="118"/>
      <c r="E477" s="103"/>
      <c r="F477" s="104"/>
    </row>
    <row r="478" spans="1:6" x14ac:dyDescent="0.2">
      <c r="A478" s="113"/>
      <c r="B478" s="116"/>
      <c r="C478" s="117"/>
      <c r="D478" s="118"/>
      <c r="E478" s="103"/>
      <c r="F478" s="104"/>
    </row>
    <row r="479" spans="1:6" x14ac:dyDescent="0.2">
      <c r="A479" s="113"/>
      <c r="B479" s="116"/>
      <c r="C479" s="117"/>
      <c r="D479" s="118"/>
      <c r="E479" s="103"/>
      <c r="F479" s="104"/>
    </row>
    <row r="480" spans="1:6" x14ac:dyDescent="0.2">
      <c r="A480" s="113"/>
      <c r="B480" s="116"/>
      <c r="C480" s="117"/>
      <c r="D480" s="118"/>
      <c r="E480" s="103"/>
      <c r="F480" s="104"/>
    </row>
    <row r="481" spans="1:6" x14ac:dyDescent="0.2">
      <c r="A481" s="113"/>
      <c r="B481" s="116"/>
      <c r="C481" s="117"/>
      <c r="D481" s="118"/>
      <c r="E481" s="103"/>
      <c r="F481" s="104"/>
    </row>
    <row r="482" spans="1:6" x14ac:dyDescent="0.2">
      <c r="A482" s="113"/>
      <c r="B482" s="116"/>
      <c r="C482" s="117"/>
      <c r="D482" s="118"/>
      <c r="E482" s="103"/>
      <c r="F482" s="104"/>
    </row>
    <row r="483" spans="1:6" x14ac:dyDescent="0.2">
      <c r="A483" s="113"/>
      <c r="B483" s="116"/>
      <c r="C483" s="117"/>
      <c r="D483" s="118"/>
      <c r="E483" s="103"/>
      <c r="F483" s="104"/>
    </row>
    <row r="484" spans="1:6" x14ac:dyDescent="0.2">
      <c r="A484" s="113"/>
      <c r="B484" s="116"/>
      <c r="C484" s="117"/>
      <c r="D484" s="118"/>
      <c r="E484" s="103"/>
      <c r="F484" s="104"/>
    </row>
    <row r="485" spans="1:6" x14ac:dyDescent="0.2">
      <c r="A485" s="113"/>
      <c r="B485" s="116"/>
      <c r="C485" s="117"/>
      <c r="D485" s="118"/>
      <c r="E485" s="103"/>
      <c r="F485" s="104"/>
    </row>
    <row r="486" spans="1:6" x14ac:dyDescent="0.2">
      <c r="A486" s="113"/>
      <c r="B486" s="116"/>
      <c r="C486" s="117"/>
      <c r="D486" s="118"/>
      <c r="E486" s="103"/>
      <c r="F486" s="104"/>
    </row>
    <row r="487" spans="1:6" x14ac:dyDescent="0.2">
      <c r="A487" s="113"/>
      <c r="B487" s="116"/>
      <c r="C487" s="117"/>
      <c r="D487" s="118"/>
      <c r="E487" s="103"/>
      <c r="F487" s="104"/>
    </row>
    <row r="488" spans="1:6" x14ac:dyDescent="0.2">
      <c r="A488" s="113"/>
      <c r="B488" s="116"/>
      <c r="C488" s="117"/>
      <c r="D488" s="118"/>
      <c r="E488" s="103"/>
      <c r="F488" s="104"/>
    </row>
    <row r="489" spans="1:6" x14ac:dyDescent="0.2">
      <c r="A489" s="113"/>
      <c r="B489" s="116"/>
      <c r="C489" s="117"/>
      <c r="D489" s="118"/>
      <c r="E489" s="103"/>
      <c r="F489" s="104"/>
    </row>
    <row r="490" spans="1:6" x14ac:dyDescent="0.2">
      <c r="A490" s="113"/>
      <c r="B490" s="116"/>
      <c r="C490" s="117"/>
      <c r="D490" s="118"/>
      <c r="E490" s="103"/>
      <c r="F490" s="104"/>
    </row>
    <row r="491" spans="1:6" x14ac:dyDescent="0.2">
      <c r="A491" s="113"/>
      <c r="B491" s="116"/>
      <c r="C491" s="117"/>
      <c r="D491" s="118"/>
      <c r="E491" s="103"/>
      <c r="F491" s="104"/>
    </row>
    <row r="492" spans="1:6" x14ac:dyDescent="0.2">
      <c r="A492" s="113"/>
      <c r="B492" s="116"/>
      <c r="C492" s="117"/>
      <c r="D492" s="118"/>
      <c r="E492" s="103"/>
      <c r="F492" s="104"/>
    </row>
    <row r="493" spans="1:6" x14ac:dyDescent="0.2">
      <c r="A493" s="113"/>
      <c r="B493" s="116"/>
      <c r="C493" s="117"/>
      <c r="D493" s="118"/>
      <c r="E493" s="103"/>
      <c r="F493" s="104"/>
    </row>
    <row r="494" spans="1:6" x14ac:dyDescent="0.2">
      <c r="A494" s="113"/>
      <c r="B494" s="116"/>
      <c r="C494" s="117"/>
      <c r="D494" s="118"/>
      <c r="E494" s="103"/>
      <c r="F494" s="104"/>
    </row>
    <row r="495" spans="1:6" x14ac:dyDescent="0.2">
      <c r="A495" s="113"/>
      <c r="B495" s="116"/>
      <c r="C495" s="117"/>
      <c r="D495" s="118"/>
      <c r="E495" s="103"/>
      <c r="F495" s="104"/>
    </row>
    <row r="496" spans="1:6" x14ac:dyDescent="0.2">
      <c r="A496" s="113"/>
      <c r="B496" s="116"/>
      <c r="C496" s="117"/>
      <c r="D496" s="118"/>
      <c r="E496" s="103"/>
      <c r="F496" s="104"/>
    </row>
    <row r="497" spans="1:6" x14ac:dyDescent="0.2">
      <c r="A497" s="113"/>
      <c r="B497" s="116"/>
      <c r="C497" s="117"/>
      <c r="D497" s="118"/>
      <c r="E497" s="103"/>
      <c r="F497" s="104"/>
    </row>
    <row r="498" spans="1:6" x14ac:dyDescent="0.2">
      <c r="A498" s="113"/>
      <c r="B498" s="116"/>
      <c r="C498" s="117"/>
      <c r="D498" s="118"/>
      <c r="E498" s="103"/>
      <c r="F498" s="104"/>
    </row>
    <row r="499" spans="1:6" x14ac:dyDescent="0.2">
      <c r="A499" s="113"/>
      <c r="B499" s="116"/>
      <c r="C499" s="117"/>
      <c r="D499" s="118"/>
      <c r="E499" s="103"/>
      <c r="F499" s="104"/>
    </row>
    <row r="500" spans="1:6" x14ac:dyDescent="0.2">
      <c r="A500" s="113"/>
      <c r="B500" s="116"/>
      <c r="C500" s="117"/>
      <c r="D500" s="118"/>
      <c r="E500" s="103"/>
      <c r="F500" s="104"/>
    </row>
    <row r="501" spans="1:6" x14ac:dyDescent="0.2">
      <c r="A501" s="113"/>
      <c r="B501" s="116"/>
      <c r="C501" s="117"/>
      <c r="D501" s="118"/>
      <c r="E501" s="103"/>
      <c r="F501" s="104"/>
    </row>
    <row r="502" spans="1:6" x14ac:dyDescent="0.2">
      <c r="A502" s="113"/>
      <c r="B502" s="116"/>
      <c r="C502" s="117"/>
      <c r="D502" s="118"/>
      <c r="E502" s="103"/>
      <c r="F502" s="104"/>
    </row>
    <row r="503" spans="1:6" x14ac:dyDescent="0.2">
      <c r="A503" s="113"/>
      <c r="B503" s="116"/>
      <c r="C503" s="117"/>
      <c r="D503" s="118"/>
      <c r="E503" s="103"/>
      <c r="F503" s="104"/>
    </row>
    <row r="504" spans="1:6" x14ac:dyDescent="0.2">
      <c r="A504" s="113"/>
      <c r="B504" s="116"/>
      <c r="C504" s="117"/>
      <c r="D504" s="118"/>
      <c r="E504" s="103"/>
      <c r="F504" s="104"/>
    </row>
    <row r="505" spans="1:6" x14ac:dyDescent="0.2">
      <c r="A505" s="113"/>
      <c r="B505" s="116"/>
      <c r="C505" s="117"/>
      <c r="D505" s="118"/>
      <c r="E505" s="103"/>
      <c r="F505" s="104"/>
    </row>
    <row r="506" spans="1:6" x14ac:dyDescent="0.2">
      <c r="A506" s="113"/>
      <c r="B506" s="116"/>
      <c r="C506" s="117"/>
      <c r="D506" s="118"/>
      <c r="E506" s="103"/>
      <c r="F506" s="104"/>
    </row>
    <row r="507" spans="1:6" x14ac:dyDescent="0.2">
      <c r="A507" s="113"/>
      <c r="B507" s="116"/>
      <c r="C507" s="117"/>
      <c r="D507" s="118"/>
      <c r="E507" s="103"/>
      <c r="F507" s="104"/>
    </row>
    <row r="508" spans="1:6" x14ac:dyDescent="0.2">
      <c r="A508" s="113"/>
      <c r="B508" s="116"/>
      <c r="C508" s="117"/>
      <c r="D508" s="118"/>
      <c r="E508" s="103"/>
      <c r="F508" s="104"/>
    </row>
    <row r="509" spans="1:6" x14ac:dyDescent="0.2">
      <c r="A509" s="113"/>
      <c r="B509" s="116"/>
      <c r="C509" s="117"/>
      <c r="D509" s="118"/>
      <c r="E509" s="103"/>
      <c r="F509" s="104"/>
    </row>
    <row r="510" spans="1:6" x14ac:dyDescent="0.2">
      <c r="A510" s="113"/>
      <c r="B510" s="116"/>
      <c r="C510" s="117"/>
      <c r="D510" s="118"/>
      <c r="E510" s="103"/>
      <c r="F510" s="104"/>
    </row>
    <row r="511" spans="1:6" x14ac:dyDescent="0.2">
      <c r="A511" s="113"/>
      <c r="B511" s="116"/>
      <c r="C511" s="117"/>
      <c r="D511" s="118"/>
      <c r="E511" s="103"/>
      <c r="F511" s="104"/>
    </row>
    <row r="512" spans="1:6" x14ac:dyDescent="0.2">
      <c r="A512" s="113"/>
      <c r="B512" s="116"/>
      <c r="C512" s="117"/>
      <c r="D512" s="118"/>
      <c r="E512" s="103"/>
      <c r="F512" s="104"/>
    </row>
    <row r="513" spans="1:6" x14ac:dyDescent="0.2">
      <c r="A513" s="113"/>
      <c r="B513" s="116"/>
      <c r="C513" s="117"/>
      <c r="D513" s="118"/>
      <c r="E513" s="103"/>
      <c r="F513" s="104"/>
    </row>
    <row r="514" spans="1:6" x14ac:dyDescent="0.2">
      <c r="A514" s="113"/>
      <c r="B514" s="116"/>
      <c r="C514" s="117"/>
      <c r="D514" s="118"/>
      <c r="E514" s="103"/>
      <c r="F514" s="104"/>
    </row>
    <row r="515" spans="1:6" x14ac:dyDescent="0.2">
      <c r="A515" s="113"/>
      <c r="B515" s="116"/>
      <c r="C515" s="117"/>
      <c r="D515" s="118"/>
      <c r="E515" s="103"/>
      <c r="F515" s="104"/>
    </row>
    <row r="516" spans="1:6" x14ac:dyDescent="0.2">
      <c r="A516" s="113"/>
      <c r="B516" s="116"/>
      <c r="C516" s="117"/>
      <c r="D516" s="118"/>
      <c r="E516" s="103"/>
      <c r="F516" s="104"/>
    </row>
    <row r="517" spans="1:6" x14ac:dyDescent="0.2">
      <c r="A517" s="113"/>
      <c r="B517" s="116"/>
      <c r="C517" s="117"/>
      <c r="D517" s="118"/>
      <c r="E517" s="103"/>
      <c r="F517" s="104"/>
    </row>
    <row r="518" spans="1:6" x14ac:dyDescent="0.2">
      <c r="A518" s="113"/>
      <c r="B518" s="116"/>
      <c r="C518" s="117"/>
      <c r="D518" s="118"/>
      <c r="E518" s="103"/>
      <c r="F518" s="104"/>
    </row>
    <row r="519" spans="1:6" x14ac:dyDescent="0.2">
      <c r="A519" s="113"/>
      <c r="B519" s="116"/>
      <c r="C519" s="117"/>
      <c r="D519" s="118"/>
      <c r="E519" s="103"/>
      <c r="F519" s="104"/>
    </row>
    <row r="520" spans="1:6" x14ac:dyDescent="0.2">
      <c r="A520" s="113"/>
      <c r="B520" s="116"/>
      <c r="C520" s="117"/>
      <c r="D520" s="118"/>
      <c r="E520" s="103"/>
      <c r="F520" s="104"/>
    </row>
    <row r="521" spans="1:6" x14ac:dyDescent="0.2">
      <c r="A521" s="113"/>
      <c r="B521" s="116"/>
      <c r="C521" s="117"/>
      <c r="D521" s="118"/>
      <c r="E521" s="103"/>
      <c r="F521" s="104"/>
    </row>
    <row r="522" spans="1:6" x14ac:dyDescent="0.2">
      <c r="A522" s="113"/>
      <c r="B522" s="116"/>
      <c r="C522" s="117"/>
      <c r="D522" s="118"/>
      <c r="E522" s="103"/>
      <c r="F522" s="104"/>
    </row>
    <row r="523" spans="1:6" x14ac:dyDescent="0.2">
      <c r="A523" s="113"/>
      <c r="B523" s="116"/>
      <c r="C523" s="117"/>
      <c r="D523" s="118"/>
      <c r="E523" s="103"/>
      <c r="F523" s="104"/>
    </row>
    <row r="524" spans="1:6" x14ac:dyDescent="0.2">
      <c r="A524" s="113"/>
      <c r="B524" s="116"/>
      <c r="C524" s="117"/>
      <c r="D524" s="118"/>
      <c r="E524" s="103"/>
      <c r="F524" s="104"/>
    </row>
    <row r="525" spans="1:6" x14ac:dyDescent="0.2">
      <c r="A525" s="113"/>
      <c r="B525" s="116"/>
      <c r="C525" s="117"/>
      <c r="D525" s="118"/>
      <c r="E525" s="103"/>
      <c r="F525" s="104"/>
    </row>
    <row r="526" spans="1:6" x14ac:dyDescent="0.2">
      <c r="A526" s="113"/>
      <c r="B526" s="116"/>
      <c r="C526" s="117"/>
      <c r="D526" s="118"/>
      <c r="E526" s="103"/>
      <c r="F526" s="104"/>
    </row>
    <row r="527" spans="1:6" x14ac:dyDescent="0.2">
      <c r="A527" s="113"/>
      <c r="B527" s="116"/>
      <c r="C527" s="117"/>
      <c r="D527" s="118"/>
      <c r="E527" s="103"/>
      <c r="F527" s="104"/>
    </row>
    <row r="528" spans="1:6" x14ac:dyDescent="0.2">
      <c r="A528" s="113"/>
      <c r="B528" s="116"/>
      <c r="C528" s="117"/>
      <c r="D528" s="118"/>
      <c r="E528" s="103"/>
      <c r="F528" s="104"/>
    </row>
    <row r="529" spans="1:6" x14ac:dyDescent="0.2">
      <c r="A529" s="113"/>
      <c r="B529" s="116"/>
      <c r="C529" s="117"/>
      <c r="D529" s="118"/>
      <c r="E529" s="103"/>
      <c r="F529" s="104"/>
    </row>
    <row r="530" spans="1:6" x14ac:dyDescent="0.2">
      <c r="A530" s="113"/>
      <c r="B530" s="116"/>
      <c r="C530" s="117"/>
      <c r="D530" s="118"/>
      <c r="E530" s="103"/>
      <c r="F530" s="104"/>
    </row>
    <row r="531" spans="1:6" x14ac:dyDescent="0.2">
      <c r="A531" s="113"/>
      <c r="B531" s="116"/>
      <c r="C531" s="117"/>
      <c r="D531" s="118"/>
      <c r="E531" s="103"/>
      <c r="F531" s="104"/>
    </row>
    <row r="532" spans="1:6" x14ac:dyDescent="0.2">
      <c r="A532" s="113"/>
      <c r="B532" s="116"/>
      <c r="C532" s="117"/>
      <c r="D532" s="118"/>
      <c r="E532" s="103"/>
      <c r="F532" s="104"/>
    </row>
    <row r="533" spans="1:6" x14ac:dyDescent="0.2">
      <c r="A533" s="113"/>
      <c r="B533" s="116"/>
      <c r="C533" s="117"/>
      <c r="D533" s="118"/>
      <c r="E533" s="103"/>
      <c r="F533" s="104"/>
    </row>
    <row r="534" spans="1:6" x14ac:dyDescent="0.2">
      <c r="A534" s="113"/>
      <c r="B534" s="116"/>
      <c r="C534" s="117"/>
      <c r="D534" s="118"/>
      <c r="E534" s="103"/>
      <c r="F534" s="104"/>
    </row>
    <row r="535" spans="1:6" x14ac:dyDescent="0.2">
      <c r="A535" s="113"/>
      <c r="B535" s="116"/>
      <c r="C535" s="117"/>
      <c r="D535" s="118"/>
      <c r="E535" s="103"/>
      <c r="F535" s="104"/>
    </row>
    <row r="536" spans="1:6" x14ac:dyDescent="0.2">
      <c r="A536" s="113"/>
      <c r="B536" s="116"/>
      <c r="C536" s="117"/>
      <c r="D536" s="118"/>
      <c r="E536" s="103"/>
      <c r="F536" s="104"/>
    </row>
    <row r="537" spans="1:6" x14ac:dyDescent="0.2">
      <c r="A537" s="113"/>
      <c r="B537" s="116"/>
      <c r="C537" s="117"/>
      <c r="D537" s="118"/>
      <c r="E537" s="103"/>
      <c r="F537" s="104"/>
    </row>
    <row r="538" spans="1:6" x14ac:dyDescent="0.2">
      <c r="A538" s="113"/>
      <c r="B538" s="116"/>
      <c r="C538" s="117"/>
      <c r="D538" s="118"/>
      <c r="E538" s="103"/>
      <c r="F538" s="104"/>
    </row>
    <row r="539" spans="1:6" x14ac:dyDescent="0.2">
      <c r="A539" s="113"/>
      <c r="B539" s="116"/>
      <c r="C539" s="117"/>
      <c r="D539" s="118"/>
      <c r="E539" s="103"/>
      <c r="F539" s="104"/>
    </row>
    <row r="540" spans="1:6" x14ac:dyDescent="0.2">
      <c r="A540" s="113"/>
      <c r="B540" s="116"/>
      <c r="C540" s="117"/>
      <c r="D540" s="118"/>
      <c r="E540" s="103"/>
      <c r="F540" s="104"/>
    </row>
    <row r="541" spans="1:6" x14ac:dyDescent="0.2">
      <c r="A541" s="113"/>
      <c r="B541" s="116"/>
      <c r="C541" s="117"/>
      <c r="D541" s="118"/>
      <c r="E541" s="103"/>
      <c r="F541" s="104"/>
    </row>
    <row r="542" spans="1:6" x14ac:dyDescent="0.2">
      <c r="A542" s="113"/>
      <c r="B542" s="116"/>
      <c r="C542" s="117"/>
      <c r="D542" s="118"/>
      <c r="E542" s="103"/>
      <c r="F542" s="104"/>
    </row>
    <row r="543" spans="1:6" x14ac:dyDescent="0.2">
      <c r="A543" s="113"/>
      <c r="B543" s="116"/>
      <c r="C543" s="117"/>
      <c r="D543" s="118"/>
      <c r="E543" s="103"/>
      <c r="F543" s="104"/>
    </row>
    <row r="544" spans="1:6" x14ac:dyDescent="0.2">
      <c r="A544" s="113"/>
      <c r="B544" s="116"/>
      <c r="C544" s="117"/>
      <c r="D544" s="118"/>
      <c r="E544" s="103"/>
      <c r="F544" s="104"/>
    </row>
    <row r="545" spans="1:6" x14ac:dyDescent="0.2">
      <c r="A545" s="113"/>
      <c r="B545" s="116"/>
      <c r="C545" s="117"/>
      <c r="D545" s="118"/>
      <c r="E545" s="103"/>
      <c r="F545" s="104"/>
    </row>
    <row r="546" spans="1:6" x14ac:dyDescent="0.2">
      <c r="A546" s="113"/>
      <c r="B546" s="116"/>
      <c r="C546" s="117"/>
      <c r="D546" s="118"/>
      <c r="E546" s="103"/>
      <c r="F546" s="104"/>
    </row>
    <row r="547" spans="1:6" x14ac:dyDescent="0.2">
      <c r="A547" s="113"/>
      <c r="B547" s="116"/>
      <c r="C547" s="117"/>
      <c r="D547" s="118"/>
      <c r="E547" s="103"/>
      <c r="F547" s="104"/>
    </row>
    <row r="548" spans="1:6" x14ac:dyDescent="0.2">
      <c r="A548" s="113"/>
      <c r="B548" s="116"/>
      <c r="C548" s="117"/>
      <c r="D548" s="118"/>
      <c r="E548" s="103"/>
      <c r="F548" s="104"/>
    </row>
    <row r="549" spans="1:6" x14ac:dyDescent="0.2">
      <c r="A549" s="113"/>
      <c r="B549" s="116"/>
      <c r="C549" s="117"/>
      <c r="D549" s="118"/>
      <c r="E549" s="103"/>
      <c r="F549" s="104"/>
    </row>
    <row r="550" spans="1:6" x14ac:dyDescent="0.2">
      <c r="A550" s="113"/>
      <c r="B550" s="116"/>
      <c r="C550" s="117"/>
      <c r="D550" s="118"/>
      <c r="E550" s="103"/>
      <c r="F550" s="104"/>
    </row>
    <row r="551" spans="1:6" x14ac:dyDescent="0.2">
      <c r="A551" s="113"/>
      <c r="B551" s="116"/>
      <c r="C551" s="117"/>
      <c r="D551" s="118"/>
      <c r="E551" s="103"/>
      <c r="F551" s="104"/>
    </row>
    <row r="552" spans="1:6" x14ac:dyDescent="0.2">
      <c r="A552" s="113"/>
      <c r="B552" s="116"/>
      <c r="C552" s="117"/>
      <c r="D552" s="118"/>
      <c r="E552" s="103"/>
      <c r="F552" s="104"/>
    </row>
    <row r="553" spans="1:6" x14ac:dyDescent="0.2">
      <c r="A553" s="113"/>
      <c r="B553" s="116"/>
      <c r="C553" s="117"/>
      <c r="D553" s="118"/>
      <c r="E553" s="103"/>
      <c r="F553" s="104"/>
    </row>
    <row r="554" spans="1:6" x14ac:dyDescent="0.2">
      <c r="A554" s="113"/>
      <c r="B554" s="116"/>
      <c r="C554" s="117"/>
      <c r="D554" s="118"/>
      <c r="E554" s="103"/>
      <c r="F554" s="104"/>
    </row>
    <row r="555" spans="1:6" x14ac:dyDescent="0.2">
      <c r="A555" s="113"/>
      <c r="B555" s="116"/>
      <c r="C555" s="117"/>
      <c r="D555" s="118"/>
      <c r="E555" s="103"/>
      <c r="F555" s="104"/>
    </row>
    <row r="556" spans="1:6" x14ac:dyDescent="0.2">
      <c r="A556" s="113"/>
      <c r="B556" s="116"/>
      <c r="C556" s="117"/>
      <c r="D556" s="118"/>
      <c r="E556" s="103"/>
      <c r="F556" s="104"/>
    </row>
    <row r="557" spans="1:6" x14ac:dyDescent="0.2">
      <c r="A557" s="113"/>
      <c r="B557" s="116"/>
      <c r="C557" s="117"/>
      <c r="D557" s="118"/>
      <c r="E557" s="103"/>
      <c r="F557" s="104"/>
    </row>
    <row r="558" spans="1:6" x14ac:dyDescent="0.2">
      <c r="A558" s="113"/>
      <c r="B558" s="116"/>
      <c r="C558" s="117"/>
      <c r="D558" s="118"/>
      <c r="E558" s="103"/>
      <c r="F558" s="104"/>
    </row>
    <row r="559" spans="1:6" x14ac:dyDescent="0.2">
      <c r="A559" s="113"/>
      <c r="B559" s="116"/>
      <c r="C559" s="117"/>
      <c r="D559" s="118"/>
      <c r="E559" s="103"/>
      <c r="F559" s="104"/>
    </row>
    <row r="560" spans="1:6" x14ac:dyDescent="0.2">
      <c r="A560" s="113"/>
      <c r="B560" s="116"/>
      <c r="C560" s="117"/>
      <c r="D560" s="118"/>
      <c r="E560" s="103"/>
      <c r="F560" s="104"/>
    </row>
    <row r="561" spans="1:6" x14ac:dyDescent="0.2">
      <c r="A561" s="113"/>
      <c r="B561" s="116"/>
      <c r="C561" s="117"/>
      <c r="D561" s="118"/>
      <c r="E561" s="103"/>
      <c r="F561" s="104"/>
    </row>
    <row r="562" spans="1:6" x14ac:dyDescent="0.2">
      <c r="A562" s="113"/>
      <c r="B562" s="116"/>
      <c r="C562" s="117"/>
      <c r="D562" s="118"/>
      <c r="E562" s="103"/>
      <c r="F562" s="104"/>
    </row>
    <row r="563" spans="1:6" x14ac:dyDescent="0.2">
      <c r="A563" s="113"/>
      <c r="B563" s="116"/>
      <c r="C563" s="117"/>
      <c r="D563" s="118"/>
      <c r="E563" s="103"/>
      <c r="F563" s="104"/>
    </row>
    <row r="564" spans="1:6" x14ac:dyDescent="0.2">
      <c r="A564" s="113"/>
      <c r="B564" s="116"/>
      <c r="C564" s="117"/>
      <c r="D564" s="118"/>
      <c r="E564" s="103"/>
      <c r="F564" s="104"/>
    </row>
    <row r="565" spans="1:6" x14ac:dyDescent="0.2">
      <c r="A565" s="113"/>
      <c r="B565" s="116"/>
      <c r="C565" s="117"/>
      <c r="D565" s="118"/>
      <c r="E565" s="103"/>
      <c r="F565" s="104"/>
    </row>
    <row r="566" spans="1:6" x14ac:dyDescent="0.2">
      <c r="A566" s="113"/>
      <c r="B566" s="116"/>
      <c r="C566" s="117"/>
      <c r="D566" s="118"/>
      <c r="E566" s="103"/>
      <c r="F566" s="104"/>
    </row>
    <row r="567" spans="1:6" x14ac:dyDescent="0.2">
      <c r="A567" s="113"/>
      <c r="B567" s="116"/>
      <c r="C567" s="117"/>
      <c r="D567" s="118"/>
      <c r="E567" s="103"/>
      <c r="F567" s="104"/>
    </row>
    <row r="568" spans="1:6" x14ac:dyDescent="0.2">
      <c r="A568" s="113"/>
      <c r="B568" s="116"/>
      <c r="C568" s="117"/>
      <c r="D568" s="118"/>
      <c r="E568" s="103"/>
      <c r="F568" s="104"/>
    </row>
    <row r="569" spans="1:6" x14ac:dyDescent="0.2">
      <c r="A569" s="113"/>
      <c r="B569" s="116"/>
      <c r="C569" s="117"/>
      <c r="D569" s="118"/>
      <c r="E569" s="103"/>
      <c r="F569" s="104"/>
    </row>
    <row r="570" spans="1:6" x14ac:dyDescent="0.2">
      <c r="A570" s="113"/>
      <c r="B570" s="116"/>
      <c r="C570" s="117"/>
      <c r="D570" s="118"/>
      <c r="E570" s="103"/>
      <c r="F570" s="104"/>
    </row>
    <row r="571" spans="1:6" x14ac:dyDescent="0.2">
      <c r="A571" s="113"/>
      <c r="B571" s="116"/>
      <c r="C571" s="117"/>
      <c r="D571" s="118"/>
      <c r="E571" s="103"/>
      <c r="F571" s="104"/>
    </row>
    <row r="572" spans="1:6" x14ac:dyDescent="0.2">
      <c r="A572" s="113"/>
      <c r="B572" s="116"/>
      <c r="C572" s="117"/>
      <c r="D572" s="118"/>
      <c r="E572" s="103"/>
      <c r="F572" s="104"/>
    </row>
    <row r="573" spans="1:6" x14ac:dyDescent="0.2">
      <c r="A573" s="113"/>
      <c r="B573" s="116"/>
      <c r="C573" s="117"/>
      <c r="D573" s="118"/>
      <c r="E573" s="103"/>
      <c r="F573" s="104"/>
    </row>
    <row r="574" spans="1:6" x14ac:dyDescent="0.2">
      <c r="A574" s="113"/>
      <c r="B574" s="116"/>
      <c r="C574" s="117"/>
      <c r="D574" s="118"/>
      <c r="E574" s="103"/>
      <c r="F574" s="104"/>
    </row>
    <row r="575" spans="1:6" x14ac:dyDescent="0.2">
      <c r="A575" s="113"/>
      <c r="B575" s="116"/>
      <c r="C575" s="117"/>
      <c r="D575" s="118"/>
      <c r="E575" s="103"/>
      <c r="F575" s="104"/>
    </row>
    <row r="576" spans="1:6" x14ac:dyDescent="0.2">
      <c r="A576" s="113"/>
      <c r="B576" s="116"/>
      <c r="C576" s="117"/>
      <c r="D576" s="118"/>
      <c r="E576" s="103"/>
      <c r="F576" s="104"/>
    </row>
    <row r="577" spans="1:6" x14ac:dyDescent="0.2">
      <c r="A577" s="113"/>
      <c r="B577" s="116"/>
      <c r="C577" s="117"/>
      <c r="D577" s="118"/>
      <c r="E577" s="103"/>
      <c r="F577" s="104"/>
    </row>
    <row r="578" spans="1:6" x14ac:dyDescent="0.2">
      <c r="A578" s="113"/>
      <c r="B578" s="116"/>
      <c r="C578" s="117"/>
      <c r="D578" s="118"/>
      <c r="E578" s="103"/>
      <c r="F578" s="104"/>
    </row>
    <row r="579" spans="1:6" x14ac:dyDescent="0.2">
      <c r="A579" s="113"/>
      <c r="B579" s="116"/>
      <c r="C579" s="117"/>
      <c r="D579" s="118"/>
      <c r="E579" s="103"/>
      <c r="F579" s="104"/>
    </row>
    <row r="580" spans="1:6" x14ac:dyDescent="0.2">
      <c r="A580" s="113"/>
      <c r="B580" s="116"/>
      <c r="C580" s="117"/>
      <c r="D580" s="118"/>
      <c r="E580" s="103"/>
      <c r="F580" s="104"/>
    </row>
    <row r="581" spans="1:6" x14ac:dyDescent="0.2">
      <c r="A581" s="113"/>
      <c r="B581" s="116"/>
      <c r="C581" s="117"/>
      <c r="D581" s="118"/>
      <c r="E581" s="103"/>
      <c r="F581" s="104"/>
    </row>
    <row r="582" spans="1:6" x14ac:dyDescent="0.2">
      <c r="A582" s="113"/>
      <c r="B582" s="116"/>
      <c r="C582" s="117"/>
      <c r="D582" s="118"/>
      <c r="E582" s="103"/>
      <c r="F582" s="104"/>
    </row>
    <row r="583" spans="1:6" x14ac:dyDescent="0.2">
      <c r="A583" s="113"/>
      <c r="B583" s="116"/>
      <c r="C583" s="117"/>
      <c r="D583" s="118"/>
      <c r="E583" s="103"/>
      <c r="F583" s="104"/>
    </row>
    <row r="584" spans="1:6" x14ac:dyDescent="0.2">
      <c r="A584" s="113"/>
      <c r="B584" s="116"/>
      <c r="C584" s="117"/>
      <c r="D584" s="118"/>
      <c r="E584" s="103"/>
      <c r="F584" s="104"/>
    </row>
    <row r="585" spans="1:6" x14ac:dyDescent="0.2">
      <c r="A585" s="113"/>
      <c r="B585" s="116"/>
      <c r="C585" s="117"/>
      <c r="D585" s="118"/>
      <c r="E585" s="103"/>
      <c r="F585" s="104"/>
    </row>
    <row r="586" spans="1:6" x14ac:dyDescent="0.2">
      <c r="A586" s="113"/>
      <c r="B586" s="116"/>
      <c r="C586" s="117"/>
      <c r="D586" s="118"/>
      <c r="E586" s="103"/>
      <c r="F586" s="104"/>
    </row>
    <row r="587" spans="1:6" x14ac:dyDescent="0.2">
      <c r="A587" s="113"/>
      <c r="B587" s="116"/>
      <c r="C587" s="117"/>
      <c r="D587" s="118"/>
      <c r="E587" s="103"/>
      <c r="F587" s="104"/>
    </row>
    <row r="588" spans="1:6" x14ac:dyDescent="0.2">
      <c r="A588" s="113"/>
      <c r="B588" s="116"/>
      <c r="C588" s="117"/>
      <c r="D588" s="118"/>
      <c r="E588" s="103"/>
      <c r="F588" s="104"/>
    </row>
    <row r="589" spans="1:6" x14ac:dyDescent="0.2">
      <c r="A589" s="113"/>
      <c r="B589" s="116"/>
      <c r="C589" s="117"/>
      <c r="D589" s="118"/>
      <c r="E589" s="103"/>
      <c r="F589" s="104"/>
    </row>
    <row r="590" spans="1:6" x14ac:dyDescent="0.2">
      <c r="A590" s="113"/>
      <c r="B590" s="116"/>
      <c r="C590" s="117"/>
      <c r="D590" s="118"/>
      <c r="E590" s="103"/>
      <c r="F590" s="104"/>
    </row>
    <row r="591" spans="1:6" x14ac:dyDescent="0.2">
      <c r="A591" s="113"/>
      <c r="B591" s="116"/>
      <c r="C591" s="117"/>
      <c r="D591" s="118"/>
      <c r="E591" s="103"/>
      <c r="F591" s="104"/>
    </row>
    <row r="592" spans="1:6" x14ac:dyDescent="0.2">
      <c r="A592" s="113"/>
      <c r="B592" s="116"/>
      <c r="C592" s="117"/>
      <c r="D592" s="118"/>
      <c r="E592" s="103"/>
      <c r="F592" s="104"/>
    </row>
    <row r="593" spans="1:6" x14ac:dyDescent="0.2">
      <c r="A593" s="113"/>
      <c r="B593" s="116"/>
      <c r="C593" s="117"/>
      <c r="D593" s="118"/>
      <c r="E593" s="103"/>
      <c r="F593" s="104"/>
    </row>
    <row r="594" spans="1:6" x14ac:dyDescent="0.2">
      <c r="A594" s="113"/>
      <c r="B594" s="116"/>
      <c r="C594" s="117"/>
      <c r="D594" s="118"/>
      <c r="E594" s="103"/>
      <c r="F594" s="104"/>
    </row>
    <row r="595" spans="1:6" x14ac:dyDescent="0.2">
      <c r="A595" s="113"/>
      <c r="B595" s="116"/>
      <c r="C595" s="117"/>
      <c r="D595" s="118"/>
      <c r="E595" s="103"/>
      <c r="F595" s="104"/>
    </row>
    <row r="596" spans="1:6" x14ac:dyDescent="0.2">
      <c r="A596" s="113"/>
      <c r="B596" s="116"/>
      <c r="C596" s="117"/>
      <c r="D596" s="118"/>
      <c r="E596" s="103"/>
      <c r="F596" s="104"/>
    </row>
    <row r="597" spans="1:6" x14ac:dyDescent="0.2">
      <c r="A597" s="113"/>
      <c r="B597" s="116"/>
      <c r="C597" s="117"/>
      <c r="D597" s="118"/>
      <c r="E597" s="103"/>
      <c r="F597" s="104"/>
    </row>
    <row r="598" spans="1:6" x14ac:dyDescent="0.2">
      <c r="A598" s="113"/>
      <c r="B598" s="116"/>
      <c r="C598" s="117"/>
      <c r="D598" s="118"/>
      <c r="E598" s="103"/>
      <c r="F598" s="104"/>
    </row>
    <row r="599" spans="1:6" x14ac:dyDescent="0.2">
      <c r="A599" s="113"/>
      <c r="B599" s="116"/>
      <c r="C599" s="117"/>
      <c r="D599" s="118"/>
      <c r="E599" s="103"/>
      <c r="F599" s="104"/>
    </row>
    <row r="600" spans="1:6" x14ac:dyDescent="0.2">
      <c r="A600" s="113"/>
      <c r="B600" s="116"/>
      <c r="C600" s="117"/>
      <c r="D600" s="118"/>
      <c r="E600" s="103"/>
      <c r="F600" s="104"/>
    </row>
    <row r="601" spans="1:6" x14ac:dyDescent="0.2">
      <c r="A601" s="113"/>
      <c r="B601" s="116"/>
      <c r="C601" s="117"/>
      <c r="D601" s="118"/>
      <c r="E601" s="103"/>
      <c r="F601" s="104"/>
    </row>
    <row r="602" spans="1:6" x14ac:dyDescent="0.2">
      <c r="A602" s="113"/>
      <c r="B602" s="116"/>
      <c r="C602" s="117"/>
      <c r="D602" s="118"/>
      <c r="E602" s="103"/>
      <c r="F602" s="104"/>
    </row>
    <row r="603" spans="1:6" x14ac:dyDescent="0.2">
      <c r="A603" s="113"/>
      <c r="B603" s="116"/>
      <c r="C603" s="117"/>
      <c r="D603" s="118"/>
      <c r="E603" s="103"/>
      <c r="F603" s="104"/>
    </row>
    <row r="604" spans="1:6" x14ac:dyDescent="0.2">
      <c r="A604" s="113"/>
      <c r="B604" s="116"/>
      <c r="C604" s="117"/>
      <c r="D604" s="118"/>
      <c r="E604" s="103"/>
      <c r="F604" s="104"/>
    </row>
    <row r="605" spans="1:6" x14ac:dyDescent="0.2">
      <c r="A605" s="113"/>
      <c r="B605" s="116"/>
      <c r="C605" s="117"/>
      <c r="D605" s="118"/>
      <c r="E605" s="103"/>
      <c r="F605" s="104"/>
    </row>
    <row r="606" spans="1:6" x14ac:dyDescent="0.2">
      <c r="A606" s="113"/>
      <c r="B606" s="116"/>
      <c r="C606" s="117"/>
      <c r="D606" s="118"/>
      <c r="E606" s="103"/>
      <c r="F606" s="104"/>
    </row>
    <row r="607" spans="1:6" x14ac:dyDescent="0.2">
      <c r="A607" s="113"/>
      <c r="B607" s="116"/>
      <c r="C607" s="117"/>
      <c r="D607" s="118"/>
      <c r="E607" s="103"/>
      <c r="F607" s="104"/>
    </row>
    <row r="608" spans="1:6" x14ac:dyDescent="0.2">
      <c r="A608" s="113"/>
      <c r="B608" s="116"/>
      <c r="C608" s="117"/>
      <c r="D608" s="118"/>
      <c r="E608" s="103"/>
      <c r="F608" s="104"/>
    </row>
    <row r="609" spans="1:6" x14ac:dyDescent="0.2">
      <c r="A609" s="113"/>
      <c r="B609" s="116"/>
      <c r="C609" s="117"/>
      <c r="D609" s="118"/>
      <c r="E609" s="103"/>
      <c r="F609" s="104"/>
    </row>
    <row r="610" spans="1:6" x14ac:dyDescent="0.2">
      <c r="A610" s="113"/>
      <c r="B610" s="116"/>
      <c r="C610" s="117"/>
      <c r="D610" s="118"/>
      <c r="E610" s="103"/>
      <c r="F610" s="104"/>
    </row>
    <row r="611" spans="1:6" x14ac:dyDescent="0.2">
      <c r="A611" s="113"/>
      <c r="B611" s="116"/>
      <c r="C611" s="117"/>
      <c r="D611" s="118"/>
      <c r="E611" s="103"/>
      <c r="F611" s="104"/>
    </row>
    <row r="612" spans="1:6" x14ac:dyDescent="0.2">
      <c r="A612" s="113"/>
      <c r="B612" s="116"/>
      <c r="C612" s="117"/>
      <c r="D612" s="118"/>
      <c r="E612" s="103"/>
      <c r="F612" s="104"/>
    </row>
    <row r="613" spans="1:6" x14ac:dyDescent="0.2">
      <c r="A613" s="113"/>
      <c r="B613" s="116"/>
      <c r="C613" s="117"/>
      <c r="D613" s="118"/>
      <c r="E613" s="103"/>
      <c r="F613" s="104"/>
    </row>
    <row r="614" spans="1:6" x14ac:dyDescent="0.2">
      <c r="A614" s="113"/>
      <c r="B614" s="116"/>
      <c r="C614" s="117"/>
      <c r="D614" s="118"/>
      <c r="E614" s="103"/>
      <c r="F614" s="104"/>
    </row>
    <row r="615" spans="1:6" x14ac:dyDescent="0.2">
      <c r="A615" s="113"/>
      <c r="B615" s="116"/>
      <c r="C615" s="117"/>
      <c r="D615" s="118"/>
      <c r="E615" s="103"/>
      <c r="F615" s="104"/>
    </row>
    <row r="616" spans="1:6" x14ac:dyDescent="0.2">
      <c r="A616" s="113"/>
      <c r="B616" s="116"/>
      <c r="C616" s="117"/>
      <c r="D616" s="118"/>
      <c r="E616" s="103"/>
      <c r="F616" s="104"/>
    </row>
    <row r="617" spans="1:6" x14ac:dyDescent="0.2">
      <c r="A617" s="113"/>
      <c r="B617" s="116"/>
      <c r="C617" s="117"/>
      <c r="D617" s="118"/>
      <c r="E617" s="103"/>
      <c r="F617" s="104"/>
    </row>
    <row r="618" spans="1:6" x14ac:dyDescent="0.2">
      <c r="A618" s="113"/>
      <c r="B618" s="116"/>
      <c r="C618" s="117"/>
      <c r="D618" s="118"/>
      <c r="E618" s="103"/>
      <c r="F618" s="104"/>
    </row>
    <row r="619" spans="1:6" x14ac:dyDescent="0.2">
      <c r="A619" s="113"/>
      <c r="B619" s="116"/>
      <c r="C619" s="117"/>
      <c r="D619" s="118"/>
      <c r="E619" s="103"/>
      <c r="F619" s="104"/>
    </row>
    <row r="620" spans="1:6" x14ac:dyDescent="0.2">
      <c r="A620" s="113"/>
      <c r="B620" s="116"/>
      <c r="C620" s="117"/>
      <c r="D620" s="118"/>
      <c r="E620" s="103"/>
      <c r="F620" s="104"/>
    </row>
    <row r="621" spans="1:6" x14ac:dyDescent="0.2">
      <c r="A621" s="113"/>
      <c r="B621" s="116"/>
      <c r="C621" s="117"/>
      <c r="D621" s="118"/>
      <c r="E621" s="103"/>
      <c r="F621" s="104"/>
    </row>
    <row r="622" spans="1:6" x14ac:dyDescent="0.2">
      <c r="A622" s="113"/>
      <c r="B622" s="116"/>
      <c r="C622" s="117"/>
      <c r="D622" s="118"/>
      <c r="E622" s="103"/>
      <c r="F622" s="104"/>
    </row>
    <row r="623" spans="1:6" x14ac:dyDescent="0.2">
      <c r="A623" s="113"/>
      <c r="B623" s="116"/>
      <c r="C623" s="117"/>
      <c r="D623" s="118"/>
      <c r="E623" s="103"/>
      <c r="F623" s="104"/>
    </row>
    <row r="624" spans="1:6" x14ac:dyDescent="0.2">
      <c r="A624" s="113"/>
      <c r="B624" s="116"/>
      <c r="C624" s="117"/>
      <c r="D624" s="118"/>
      <c r="E624" s="103"/>
      <c r="F624" s="104"/>
    </row>
    <row r="625" spans="1:6" x14ac:dyDescent="0.2">
      <c r="A625" s="113"/>
      <c r="B625" s="116"/>
      <c r="C625" s="117"/>
      <c r="D625" s="118"/>
      <c r="E625" s="103"/>
      <c r="F625" s="104"/>
    </row>
    <row r="626" spans="1:6" x14ac:dyDescent="0.2">
      <c r="A626" s="113"/>
      <c r="B626" s="116"/>
      <c r="C626" s="117"/>
      <c r="D626" s="118"/>
      <c r="E626" s="103"/>
      <c r="F626" s="104"/>
    </row>
    <row r="627" spans="1:6" x14ac:dyDescent="0.2">
      <c r="A627" s="113"/>
      <c r="B627" s="116"/>
      <c r="C627" s="117"/>
      <c r="D627" s="118"/>
      <c r="E627" s="103"/>
      <c r="F627" s="104"/>
    </row>
    <row r="628" spans="1:6" x14ac:dyDescent="0.2">
      <c r="A628" s="113"/>
      <c r="B628" s="116"/>
      <c r="C628" s="117"/>
      <c r="D628" s="118"/>
      <c r="E628" s="103"/>
      <c r="F628" s="104"/>
    </row>
    <row r="629" spans="1:6" x14ac:dyDescent="0.2">
      <c r="A629" s="113"/>
      <c r="B629" s="116"/>
      <c r="C629" s="117"/>
      <c r="D629" s="118"/>
      <c r="E629" s="103"/>
      <c r="F629" s="104"/>
    </row>
    <row r="630" spans="1:6" x14ac:dyDescent="0.2">
      <c r="A630" s="113"/>
      <c r="B630" s="116"/>
      <c r="C630" s="117"/>
      <c r="D630" s="118"/>
      <c r="E630" s="103"/>
      <c r="F630" s="104"/>
    </row>
    <row r="631" spans="1:6" x14ac:dyDescent="0.2">
      <c r="A631" s="113"/>
      <c r="B631" s="116"/>
      <c r="C631" s="117"/>
      <c r="D631" s="118"/>
      <c r="E631" s="103"/>
      <c r="F631" s="104"/>
    </row>
    <row r="632" spans="1:6" x14ac:dyDescent="0.2">
      <c r="A632" s="113"/>
      <c r="B632" s="116"/>
      <c r="C632" s="117"/>
      <c r="D632" s="118"/>
      <c r="E632" s="103"/>
      <c r="F632" s="104"/>
    </row>
    <row r="633" spans="1:6" x14ac:dyDescent="0.2">
      <c r="A633" s="113"/>
      <c r="B633" s="116"/>
      <c r="C633" s="117"/>
      <c r="D633" s="118"/>
      <c r="E633" s="103"/>
      <c r="F633" s="104"/>
    </row>
    <row r="634" spans="1:6" x14ac:dyDescent="0.2">
      <c r="A634" s="113"/>
      <c r="B634" s="116"/>
      <c r="C634" s="117"/>
      <c r="D634" s="118"/>
      <c r="E634" s="103"/>
      <c r="F634" s="104"/>
    </row>
    <row r="635" spans="1:6" x14ac:dyDescent="0.2">
      <c r="A635" s="113"/>
      <c r="B635" s="116"/>
      <c r="C635" s="117"/>
      <c r="D635" s="118"/>
      <c r="E635" s="103"/>
      <c r="F635" s="104"/>
    </row>
    <row r="636" spans="1:6" x14ac:dyDescent="0.2">
      <c r="A636" s="113"/>
      <c r="B636" s="116"/>
      <c r="C636" s="117"/>
      <c r="D636" s="118"/>
      <c r="E636" s="103"/>
      <c r="F636" s="104"/>
    </row>
    <row r="637" spans="1:6" x14ac:dyDescent="0.2">
      <c r="A637" s="113"/>
      <c r="B637" s="116"/>
      <c r="C637" s="117"/>
      <c r="D637" s="118"/>
      <c r="E637" s="103"/>
      <c r="F637" s="104"/>
    </row>
    <row r="638" spans="1:6" x14ac:dyDescent="0.2">
      <c r="A638" s="113"/>
      <c r="B638" s="116"/>
      <c r="C638" s="117"/>
      <c r="D638" s="118"/>
      <c r="E638" s="103"/>
      <c r="F638" s="104"/>
    </row>
    <row r="639" spans="1:6" x14ac:dyDescent="0.2">
      <c r="A639" s="113"/>
      <c r="B639" s="116"/>
      <c r="C639" s="117"/>
      <c r="D639" s="118"/>
      <c r="E639" s="103"/>
      <c r="F639" s="104"/>
    </row>
    <row r="640" spans="1:6" x14ac:dyDescent="0.2">
      <c r="A640" s="113"/>
      <c r="B640" s="116"/>
      <c r="C640" s="117"/>
      <c r="D640" s="118"/>
      <c r="E640" s="103"/>
      <c r="F640" s="104"/>
    </row>
    <row r="641" spans="1:6" x14ac:dyDescent="0.2">
      <c r="A641" s="113"/>
      <c r="B641" s="116"/>
      <c r="C641" s="117"/>
      <c r="D641" s="118"/>
      <c r="E641" s="103"/>
      <c r="F641" s="104"/>
    </row>
    <row r="642" spans="1:6" x14ac:dyDescent="0.2">
      <c r="A642" s="113"/>
      <c r="B642" s="116"/>
      <c r="C642" s="117"/>
      <c r="D642" s="118"/>
      <c r="E642" s="103"/>
      <c r="F642" s="104"/>
    </row>
    <row r="643" spans="1:6" x14ac:dyDescent="0.2">
      <c r="A643" s="113"/>
      <c r="B643" s="116"/>
      <c r="C643" s="117"/>
      <c r="D643" s="118"/>
      <c r="E643" s="103"/>
      <c r="F643" s="104"/>
    </row>
    <row r="644" spans="1:6" x14ac:dyDescent="0.2">
      <c r="A644" s="113"/>
      <c r="B644" s="116"/>
      <c r="C644" s="117"/>
      <c r="D644" s="118"/>
      <c r="E644" s="103"/>
      <c r="F644" s="104"/>
    </row>
    <row r="645" spans="1:6" x14ac:dyDescent="0.2">
      <c r="A645" s="113"/>
      <c r="B645" s="116"/>
      <c r="C645" s="117"/>
      <c r="D645" s="118"/>
      <c r="E645" s="103"/>
      <c r="F645" s="104"/>
    </row>
    <row r="646" spans="1:6" x14ac:dyDescent="0.2">
      <c r="A646" s="113"/>
      <c r="B646" s="116"/>
      <c r="C646" s="117"/>
      <c r="D646" s="118"/>
      <c r="E646" s="103"/>
      <c r="F646" s="104"/>
    </row>
    <row r="647" spans="1:6" x14ac:dyDescent="0.2">
      <c r="A647" s="113"/>
      <c r="B647" s="116"/>
      <c r="C647" s="117"/>
      <c r="D647" s="118"/>
      <c r="E647" s="103"/>
      <c r="F647" s="104"/>
    </row>
    <row r="648" spans="1:6" x14ac:dyDescent="0.2">
      <c r="A648" s="113"/>
      <c r="B648" s="116"/>
      <c r="C648" s="117"/>
      <c r="D648" s="118"/>
      <c r="E648" s="103"/>
      <c r="F648" s="104"/>
    </row>
    <row r="649" spans="1:6" x14ac:dyDescent="0.2">
      <c r="A649" s="113"/>
      <c r="B649" s="116"/>
      <c r="C649" s="117"/>
      <c r="D649" s="118"/>
      <c r="E649" s="103"/>
      <c r="F649" s="104"/>
    </row>
    <row r="650" spans="1:6" x14ac:dyDescent="0.2">
      <c r="A650" s="113"/>
      <c r="B650" s="116"/>
      <c r="C650" s="117"/>
      <c r="D650" s="118"/>
      <c r="E650" s="103"/>
      <c r="F650" s="104"/>
    </row>
    <row r="651" spans="1:6" x14ac:dyDescent="0.2">
      <c r="A651" s="113"/>
      <c r="B651" s="116"/>
      <c r="C651" s="117"/>
      <c r="D651" s="118"/>
      <c r="E651" s="103"/>
      <c r="F651" s="104"/>
    </row>
    <row r="652" spans="1:6" x14ac:dyDescent="0.2">
      <c r="A652" s="113"/>
      <c r="B652" s="116"/>
      <c r="C652" s="117"/>
      <c r="D652" s="118"/>
      <c r="E652" s="103"/>
      <c r="F652" s="104"/>
    </row>
    <row r="653" spans="1:6" x14ac:dyDescent="0.2">
      <c r="A653" s="113"/>
      <c r="B653" s="116"/>
      <c r="C653" s="117"/>
      <c r="D653" s="118"/>
      <c r="E653" s="103"/>
      <c r="F653" s="104"/>
    </row>
    <row r="654" spans="1:6" x14ac:dyDescent="0.2">
      <c r="A654" s="113"/>
      <c r="B654" s="116"/>
      <c r="C654" s="117"/>
      <c r="D654" s="118"/>
      <c r="E654" s="103"/>
      <c r="F654" s="104"/>
    </row>
    <row r="655" spans="1:6" x14ac:dyDescent="0.2">
      <c r="A655" s="113"/>
      <c r="B655" s="116"/>
      <c r="C655" s="117"/>
      <c r="D655" s="118"/>
      <c r="E655" s="103"/>
      <c r="F655" s="104"/>
    </row>
    <row r="656" spans="1:6" x14ac:dyDescent="0.2">
      <c r="A656" s="113"/>
      <c r="B656" s="116"/>
      <c r="C656" s="117"/>
      <c r="D656" s="118"/>
      <c r="E656" s="103"/>
      <c r="F656" s="104"/>
    </row>
    <row r="657" spans="1:6" x14ac:dyDescent="0.2">
      <c r="A657" s="113"/>
      <c r="B657" s="116"/>
      <c r="C657" s="117"/>
      <c r="D657" s="118"/>
      <c r="E657" s="103"/>
      <c r="F657" s="104"/>
    </row>
    <row r="658" spans="1:6" x14ac:dyDescent="0.2">
      <c r="A658" s="113"/>
      <c r="B658" s="116"/>
      <c r="C658" s="117"/>
      <c r="D658" s="118"/>
      <c r="E658" s="103"/>
      <c r="F658" s="104"/>
    </row>
    <row r="659" spans="1:6" x14ac:dyDescent="0.2">
      <c r="A659" s="113"/>
      <c r="B659" s="116"/>
      <c r="C659" s="117"/>
      <c r="D659" s="118"/>
      <c r="E659" s="103"/>
      <c r="F659" s="104"/>
    </row>
    <row r="660" spans="1:6" x14ac:dyDescent="0.2">
      <c r="A660" s="113"/>
      <c r="B660" s="116"/>
      <c r="C660" s="117"/>
      <c r="D660" s="118"/>
      <c r="E660" s="103"/>
      <c r="F660" s="104"/>
    </row>
    <row r="661" spans="1:6" x14ac:dyDescent="0.2">
      <c r="A661" s="113"/>
      <c r="B661" s="116"/>
      <c r="C661" s="117"/>
      <c r="D661" s="118"/>
      <c r="E661" s="103"/>
      <c r="F661" s="104"/>
    </row>
    <row r="662" spans="1:6" x14ac:dyDescent="0.2">
      <c r="A662" s="113"/>
      <c r="B662" s="116"/>
      <c r="C662" s="117"/>
      <c r="D662" s="118"/>
      <c r="E662" s="103"/>
      <c r="F662" s="104"/>
    </row>
    <row r="663" spans="1:6" x14ac:dyDescent="0.2">
      <c r="A663" s="113"/>
      <c r="B663" s="116"/>
      <c r="C663" s="117"/>
      <c r="D663" s="118"/>
      <c r="E663" s="103"/>
      <c r="F663" s="104"/>
    </row>
    <row r="664" spans="1:6" x14ac:dyDescent="0.2">
      <c r="A664" s="113"/>
      <c r="B664" s="116"/>
      <c r="C664" s="117"/>
      <c r="D664" s="118"/>
      <c r="E664" s="103"/>
      <c r="F664" s="104"/>
    </row>
    <row r="665" spans="1:6" x14ac:dyDescent="0.2">
      <c r="A665" s="113"/>
      <c r="B665" s="116"/>
      <c r="C665" s="117"/>
      <c r="D665" s="118"/>
      <c r="E665" s="103"/>
      <c r="F665" s="104"/>
    </row>
    <row r="666" spans="1:6" x14ac:dyDescent="0.2">
      <c r="A666" s="113"/>
      <c r="B666" s="116"/>
      <c r="C666" s="117"/>
      <c r="D666" s="118"/>
      <c r="E666" s="103"/>
      <c r="F666" s="104"/>
    </row>
    <row r="667" spans="1:6" x14ac:dyDescent="0.2">
      <c r="A667" s="113"/>
      <c r="B667" s="116"/>
      <c r="C667" s="117"/>
      <c r="D667" s="118"/>
      <c r="E667" s="103"/>
      <c r="F667" s="104"/>
    </row>
    <row r="668" spans="1:6" x14ac:dyDescent="0.2">
      <c r="A668" s="113"/>
      <c r="B668" s="116"/>
      <c r="C668" s="117"/>
      <c r="D668" s="118"/>
      <c r="E668" s="103"/>
      <c r="F668" s="104"/>
    </row>
    <row r="669" spans="1:6" x14ac:dyDescent="0.2">
      <c r="A669" s="113"/>
      <c r="B669" s="116"/>
      <c r="C669" s="117"/>
      <c r="D669" s="118"/>
      <c r="E669" s="103"/>
      <c r="F669" s="104"/>
    </row>
    <row r="670" spans="1:6" x14ac:dyDescent="0.2">
      <c r="A670" s="113"/>
      <c r="B670" s="116"/>
      <c r="C670" s="117"/>
      <c r="D670" s="118"/>
      <c r="E670" s="103"/>
      <c r="F670" s="104"/>
    </row>
    <row r="671" spans="1:6" x14ac:dyDescent="0.2">
      <c r="A671" s="113"/>
      <c r="B671" s="116"/>
      <c r="C671" s="117"/>
      <c r="D671" s="118"/>
      <c r="E671" s="103"/>
      <c r="F671" s="104"/>
    </row>
    <row r="672" spans="1:6" x14ac:dyDescent="0.2">
      <c r="A672" s="113"/>
      <c r="B672" s="116"/>
      <c r="C672" s="117"/>
      <c r="D672" s="118"/>
      <c r="E672" s="103"/>
      <c r="F672" s="104"/>
    </row>
    <row r="673" spans="1:6" x14ac:dyDescent="0.2">
      <c r="A673" s="113"/>
      <c r="B673" s="116"/>
      <c r="C673" s="117"/>
      <c r="D673" s="118"/>
      <c r="E673" s="103"/>
      <c r="F673" s="104"/>
    </row>
    <row r="674" spans="1:6" x14ac:dyDescent="0.2">
      <c r="A674" s="113"/>
      <c r="B674" s="116"/>
      <c r="C674" s="117"/>
      <c r="D674" s="118"/>
      <c r="E674" s="103"/>
      <c r="F674" s="104"/>
    </row>
    <row r="675" spans="1:6" x14ac:dyDescent="0.2">
      <c r="A675" s="113"/>
      <c r="B675" s="116"/>
      <c r="C675" s="117"/>
      <c r="D675" s="118"/>
      <c r="E675" s="103"/>
      <c r="F675" s="104"/>
    </row>
    <row r="676" spans="1:6" x14ac:dyDescent="0.2">
      <c r="A676" s="113"/>
      <c r="B676" s="116"/>
      <c r="C676" s="117"/>
      <c r="D676" s="118"/>
      <c r="E676" s="103"/>
      <c r="F676" s="104"/>
    </row>
    <row r="677" spans="1:6" x14ac:dyDescent="0.2">
      <c r="A677" s="113"/>
      <c r="B677" s="116"/>
      <c r="C677" s="117"/>
      <c r="D677" s="118"/>
      <c r="E677" s="103"/>
      <c r="F677" s="104"/>
    </row>
    <row r="678" spans="1:6" x14ac:dyDescent="0.2">
      <c r="A678" s="113"/>
      <c r="B678" s="116"/>
      <c r="C678" s="117"/>
      <c r="D678" s="118"/>
      <c r="E678" s="103"/>
      <c r="F678" s="104"/>
    </row>
    <row r="679" spans="1:6" x14ac:dyDescent="0.2">
      <c r="A679" s="113"/>
      <c r="B679" s="116"/>
      <c r="C679" s="117"/>
      <c r="D679" s="118"/>
      <c r="E679" s="103"/>
      <c r="F679" s="104"/>
    </row>
    <row r="680" spans="1:6" x14ac:dyDescent="0.2">
      <c r="A680" s="113"/>
      <c r="B680" s="116"/>
      <c r="C680" s="117"/>
      <c r="D680" s="118"/>
      <c r="E680" s="103"/>
      <c r="F680" s="104"/>
    </row>
    <row r="681" spans="1:6" x14ac:dyDescent="0.2">
      <c r="A681" s="113"/>
      <c r="B681" s="116"/>
      <c r="C681" s="117"/>
      <c r="D681" s="118"/>
      <c r="E681" s="103"/>
      <c r="F681" s="104"/>
    </row>
    <row r="682" spans="1:6" x14ac:dyDescent="0.2">
      <c r="A682" s="113"/>
      <c r="B682" s="116"/>
      <c r="C682" s="117"/>
      <c r="D682" s="118"/>
      <c r="E682" s="103"/>
      <c r="F682" s="104"/>
    </row>
    <row r="683" spans="1:6" x14ac:dyDescent="0.2">
      <c r="A683" s="113"/>
      <c r="B683" s="116"/>
      <c r="C683" s="117"/>
      <c r="D683" s="118"/>
      <c r="E683" s="103"/>
      <c r="F683" s="104"/>
    </row>
    <row r="684" spans="1:6" x14ac:dyDescent="0.2">
      <c r="A684" s="113"/>
      <c r="B684" s="116"/>
      <c r="C684" s="117"/>
      <c r="D684" s="118"/>
      <c r="E684" s="103"/>
      <c r="F684" s="104"/>
    </row>
    <row r="685" spans="1:6" x14ac:dyDescent="0.2">
      <c r="A685" s="113"/>
      <c r="B685" s="116"/>
      <c r="C685" s="117"/>
      <c r="D685" s="118"/>
      <c r="E685" s="103"/>
      <c r="F685" s="104"/>
    </row>
    <row r="686" spans="1:6" x14ac:dyDescent="0.2">
      <c r="A686" s="113"/>
      <c r="B686" s="116"/>
      <c r="C686" s="117"/>
      <c r="D686" s="118"/>
      <c r="E686" s="103"/>
      <c r="F686" s="104"/>
    </row>
    <row r="687" spans="1:6" x14ac:dyDescent="0.2">
      <c r="A687" s="113"/>
      <c r="B687" s="116"/>
      <c r="C687" s="117"/>
      <c r="D687" s="118"/>
      <c r="E687" s="103"/>
      <c r="F687" s="104"/>
    </row>
    <row r="688" spans="1:6" x14ac:dyDescent="0.2">
      <c r="A688" s="113"/>
      <c r="B688" s="116"/>
      <c r="C688" s="117"/>
      <c r="D688" s="118"/>
      <c r="E688" s="103"/>
      <c r="F688" s="104"/>
    </row>
    <row r="689" spans="1:6" x14ac:dyDescent="0.2">
      <c r="A689" s="113"/>
      <c r="B689" s="116"/>
      <c r="C689" s="117"/>
      <c r="D689" s="118"/>
      <c r="E689" s="103"/>
      <c r="F689" s="104"/>
    </row>
    <row r="690" spans="1:6" x14ac:dyDescent="0.2">
      <c r="A690" s="113"/>
      <c r="B690" s="116"/>
      <c r="C690" s="117"/>
      <c r="D690" s="118"/>
      <c r="E690" s="103"/>
      <c r="F690" s="104"/>
    </row>
    <row r="691" spans="1:6" x14ac:dyDescent="0.2">
      <c r="A691" s="113"/>
      <c r="B691" s="116"/>
      <c r="C691" s="117"/>
      <c r="D691" s="118"/>
      <c r="E691" s="103"/>
      <c r="F691" s="104"/>
    </row>
    <row r="692" spans="1:6" x14ac:dyDescent="0.2">
      <c r="A692" s="113"/>
      <c r="B692" s="116"/>
      <c r="C692" s="117"/>
      <c r="D692" s="118"/>
      <c r="E692" s="103"/>
      <c r="F692" s="104"/>
    </row>
    <row r="693" spans="1:6" x14ac:dyDescent="0.2">
      <c r="A693" s="113"/>
      <c r="B693" s="116"/>
      <c r="C693" s="117"/>
      <c r="D693" s="118"/>
      <c r="E693" s="103"/>
      <c r="F693" s="104"/>
    </row>
    <row r="694" spans="1:6" x14ac:dyDescent="0.2">
      <c r="A694" s="113"/>
      <c r="B694" s="116"/>
      <c r="C694" s="117"/>
      <c r="D694" s="118"/>
      <c r="E694" s="103"/>
      <c r="F694" s="104"/>
    </row>
    <row r="695" spans="1:6" x14ac:dyDescent="0.2">
      <c r="A695" s="113"/>
      <c r="B695" s="116"/>
      <c r="C695" s="117"/>
      <c r="D695" s="118"/>
      <c r="E695" s="103"/>
      <c r="F695" s="104"/>
    </row>
    <row r="696" spans="1:6" x14ac:dyDescent="0.2">
      <c r="A696" s="113"/>
      <c r="B696" s="116"/>
      <c r="C696" s="117"/>
      <c r="D696" s="118"/>
      <c r="E696" s="103"/>
      <c r="F696" s="104"/>
    </row>
    <row r="697" spans="1:6" x14ac:dyDescent="0.2">
      <c r="A697" s="113"/>
      <c r="B697" s="116"/>
      <c r="C697" s="117"/>
      <c r="D697" s="118"/>
      <c r="E697" s="103"/>
      <c r="F697" s="104"/>
    </row>
    <row r="698" spans="1:6" x14ac:dyDescent="0.2">
      <c r="A698" s="113"/>
      <c r="B698" s="116"/>
      <c r="C698" s="117"/>
      <c r="D698" s="118"/>
      <c r="E698" s="103"/>
      <c r="F698" s="104"/>
    </row>
    <row r="699" spans="1:6" x14ac:dyDescent="0.2">
      <c r="A699" s="113"/>
      <c r="B699" s="116"/>
      <c r="C699" s="117"/>
      <c r="D699" s="118"/>
      <c r="E699" s="103"/>
      <c r="F699" s="104"/>
    </row>
    <row r="700" spans="1:6" x14ac:dyDescent="0.2">
      <c r="A700" s="113"/>
      <c r="B700" s="116"/>
      <c r="C700" s="117"/>
      <c r="D700" s="118"/>
      <c r="E700" s="103"/>
      <c r="F700" s="104"/>
    </row>
    <row r="701" spans="1:6" x14ac:dyDescent="0.2">
      <c r="A701" s="113"/>
      <c r="B701" s="116"/>
      <c r="C701" s="117"/>
      <c r="D701" s="118"/>
      <c r="E701" s="103"/>
      <c r="F701" s="104"/>
    </row>
    <row r="702" spans="1:6" x14ac:dyDescent="0.2">
      <c r="A702" s="113"/>
      <c r="B702" s="116"/>
      <c r="C702" s="117"/>
      <c r="D702" s="118"/>
      <c r="E702" s="103"/>
      <c r="F702" s="104"/>
    </row>
    <row r="703" spans="1:6" x14ac:dyDescent="0.2">
      <c r="A703" s="113"/>
      <c r="B703" s="116"/>
      <c r="C703" s="117"/>
      <c r="D703" s="118"/>
      <c r="E703" s="103"/>
      <c r="F703" s="104"/>
    </row>
    <row r="704" spans="1:6" x14ac:dyDescent="0.2">
      <c r="A704" s="113"/>
      <c r="B704" s="116"/>
      <c r="C704" s="117"/>
      <c r="D704" s="118"/>
      <c r="E704" s="103"/>
      <c r="F704" s="104"/>
    </row>
    <row r="705" spans="1:6" x14ac:dyDescent="0.2">
      <c r="A705" s="113"/>
      <c r="B705" s="116"/>
      <c r="C705" s="117"/>
      <c r="D705" s="118"/>
      <c r="E705" s="103"/>
      <c r="F705" s="104"/>
    </row>
    <row r="706" spans="1:6" x14ac:dyDescent="0.2">
      <c r="A706" s="113"/>
      <c r="B706" s="116"/>
      <c r="C706" s="117"/>
      <c r="D706" s="118"/>
      <c r="E706" s="103"/>
      <c r="F706" s="104"/>
    </row>
    <row r="707" spans="1:6" x14ac:dyDescent="0.2">
      <c r="A707" s="113"/>
      <c r="B707" s="116"/>
      <c r="C707" s="117"/>
      <c r="D707" s="118"/>
      <c r="E707" s="103"/>
      <c r="F707" s="104"/>
    </row>
    <row r="708" spans="1:6" x14ac:dyDescent="0.2">
      <c r="A708" s="113"/>
      <c r="B708" s="116"/>
      <c r="C708" s="117"/>
      <c r="D708" s="118"/>
      <c r="E708" s="103"/>
      <c r="F708" s="104"/>
    </row>
    <row r="709" spans="1:6" x14ac:dyDescent="0.2">
      <c r="A709" s="113"/>
      <c r="B709" s="116"/>
      <c r="C709" s="117"/>
      <c r="D709" s="118"/>
      <c r="E709" s="103"/>
      <c r="F709" s="104"/>
    </row>
    <row r="710" spans="1:6" x14ac:dyDescent="0.2">
      <c r="A710" s="113"/>
      <c r="B710" s="116"/>
      <c r="C710" s="117"/>
      <c r="D710" s="118"/>
      <c r="E710" s="103"/>
      <c r="F710" s="104"/>
    </row>
    <row r="711" spans="1:6" x14ac:dyDescent="0.2">
      <c r="A711" s="113"/>
      <c r="B711" s="116"/>
      <c r="C711" s="117"/>
      <c r="D711" s="118"/>
      <c r="E711" s="103"/>
      <c r="F711" s="104"/>
    </row>
    <row r="712" spans="1:6" x14ac:dyDescent="0.2">
      <c r="A712" s="113"/>
      <c r="B712" s="116"/>
      <c r="C712" s="117"/>
      <c r="D712" s="118"/>
      <c r="E712" s="103"/>
      <c r="F712" s="104"/>
    </row>
    <row r="713" spans="1:6" x14ac:dyDescent="0.2">
      <c r="A713" s="113"/>
      <c r="B713" s="116"/>
      <c r="C713" s="117"/>
      <c r="D713" s="118"/>
      <c r="E713" s="103"/>
      <c r="F713" s="104"/>
    </row>
    <row r="714" spans="1:6" x14ac:dyDescent="0.2">
      <c r="A714" s="113"/>
      <c r="B714" s="116"/>
      <c r="C714" s="117"/>
      <c r="D714" s="118"/>
      <c r="E714" s="103"/>
      <c r="F714" s="104"/>
    </row>
    <row r="715" spans="1:6" x14ac:dyDescent="0.2">
      <c r="A715" s="113"/>
      <c r="B715" s="116"/>
      <c r="C715" s="117"/>
      <c r="D715" s="118"/>
      <c r="E715" s="103"/>
      <c r="F715" s="104"/>
    </row>
    <row r="716" spans="1:6" x14ac:dyDescent="0.2">
      <c r="A716" s="113"/>
      <c r="B716" s="116"/>
      <c r="C716" s="117"/>
      <c r="D716" s="118"/>
      <c r="E716" s="103"/>
      <c r="F716" s="104"/>
    </row>
    <row r="717" spans="1:6" x14ac:dyDescent="0.2">
      <c r="A717" s="113"/>
      <c r="B717" s="116"/>
      <c r="C717" s="117"/>
      <c r="D717" s="118"/>
      <c r="E717" s="103"/>
      <c r="F717" s="104"/>
    </row>
    <row r="718" spans="1:6" x14ac:dyDescent="0.2">
      <c r="A718" s="113"/>
      <c r="B718" s="116"/>
      <c r="C718" s="117"/>
      <c r="D718" s="118"/>
      <c r="E718" s="103"/>
      <c r="F718" s="104"/>
    </row>
    <row r="719" spans="1:6" x14ac:dyDescent="0.2">
      <c r="A719" s="113"/>
      <c r="B719" s="116"/>
      <c r="C719" s="117"/>
      <c r="D719" s="118"/>
      <c r="E719" s="103"/>
      <c r="F719" s="104"/>
    </row>
    <row r="720" spans="1:6" x14ac:dyDescent="0.2">
      <c r="A720" s="113"/>
      <c r="B720" s="116"/>
      <c r="C720" s="117"/>
      <c r="D720" s="118"/>
      <c r="E720" s="103"/>
      <c r="F720" s="104"/>
    </row>
    <row r="721" spans="1:6" x14ac:dyDescent="0.2">
      <c r="A721" s="113"/>
      <c r="B721" s="116"/>
      <c r="C721" s="117"/>
      <c r="D721" s="118"/>
      <c r="E721" s="103"/>
      <c r="F721" s="104"/>
    </row>
    <row r="722" spans="1:6" x14ac:dyDescent="0.2">
      <c r="A722" s="113"/>
      <c r="B722" s="116"/>
      <c r="C722" s="117"/>
      <c r="D722" s="118"/>
      <c r="E722" s="103"/>
      <c r="F722" s="104"/>
    </row>
    <row r="723" spans="1:6" x14ac:dyDescent="0.2">
      <c r="A723" s="113"/>
      <c r="B723" s="116"/>
      <c r="C723" s="117"/>
      <c r="D723" s="118"/>
      <c r="E723" s="103"/>
      <c r="F723" s="104"/>
    </row>
    <row r="724" spans="1:6" x14ac:dyDescent="0.2">
      <c r="A724" s="113"/>
      <c r="B724" s="116"/>
      <c r="C724" s="117"/>
      <c r="D724" s="118"/>
      <c r="E724" s="103"/>
      <c r="F724" s="104"/>
    </row>
    <row r="725" spans="1:6" x14ac:dyDescent="0.2">
      <c r="A725" s="113"/>
      <c r="B725" s="116"/>
      <c r="C725" s="117"/>
      <c r="D725" s="118"/>
      <c r="E725" s="103"/>
      <c r="F725" s="104"/>
    </row>
    <row r="726" spans="1:6" x14ac:dyDescent="0.2">
      <c r="A726" s="113"/>
      <c r="B726" s="116"/>
      <c r="C726" s="117"/>
      <c r="D726" s="118"/>
      <c r="E726" s="103"/>
      <c r="F726" s="104"/>
    </row>
    <row r="727" spans="1:6" x14ac:dyDescent="0.2">
      <c r="A727" s="113"/>
      <c r="B727" s="116"/>
      <c r="C727" s="117"/>
      <c r="D727" s="118"/>
      <c r="E727" s="103"/>
      <c r="F727" s="104"/>
    </row>
    <row r="728" spans="1:6" x14ac:dyDescent="0.2">
      <c r="A728" s="113"/>
      <c r="B728" s="116"/>
      <c r="C728" s="117"/>
      <c r="D728" s="118"/>
      <c r="E728" s="103"/>
      <c r="F728" s="104"/>
    </row>
    <row r="729" spans="1:6" x14ac:dyDescent="0.2">
      <c r="A729" s="113"/>
      <c r="B729" s="116"/>
      <c r="C729" s="117"/>
      <c r="D729" s="118"/>
      <c r="E729" s="103"/>
      <c r="F729" s="104"/>
    </row>
    <row r="730" spans="1:6" x14ac:dyDescent="0.2">
      <c r="A730" s="113"/>
      <c r="B730" s="116"/>
      <c r="C730" s="117"/>
      <c r="D730" s="118"/>
      <c r="E730" s="103"/>
      <c r="F730" s="104"/>
    </row>
    <row r="731" spans="1:6" x14ac:dyDescent="0.2">
      <c r="A731" s="113"/>
      <c r="B731" s="116"/>
      <c r="C731" s="117"/>
      <c r="D731" s="118"/>
      <c r="E731" s="103"/>
      <c r="F731" s="104"/>
    </row>
    <row r="732" spans="1:6" x14ac:dyDescent="0.2">
      <c r="A732" s="113"/>
      <c r="B732" s="116"/>
      <c r="C732" s="117"/>
      <c r="D732" s="118"/>
      <c r="E732" s="103"/>
      <c r="F732" s="104"/>
    </row>
    <row r="733" spans="1:6" x14ac:dyDescent="0.2">
      <c r="A733" s="113"/>
      <c r="B733" s="116"/>
      <c r="C733" s="117"/>
      <c r="D733" s="118"/>
      <c r="E733" s="103"/>
      <c r="F733" s="104"/>
    </row>
    <row r="734" spans="1:6" x14ac:dyDescent="0.2">
      <c r="A734" s="113"/>
      <c r="B734" s="116"/>
      <c r="C734" s="117"/>
      <c r="D734" s="118"/>
      <c r="E734" s="103"/>
      <c r="F734" s="104"/>
    </row>
    <row r="735" spans="1:6" x14ac:dyDescent="0.2">
      <c r="A735" s="113"/>
      <c r="B735" s="116"/>
      <c r="C735" s="117"/>
      <c r="D735" s="118"/>
      <c r="E735" s="103"/>
      <c r="F735" s="104"/>
    </row>
    <row r="736" spans="1:6" x14ac:dyDescent="0.2">
      <c r="A736" s="113"/>
      <c r="B736" s="116"/>
      <c r="C736" s="117"/>
      <c r="D736" s="118"/>
      <c r="E736" s="103"/>
      <c r="F736" s="104"/>
    </row>
    <row r="737" spans="1:6" x14ac:dyDescent="0.2">
      <c r="A737" s="113"/>
      <c r="B737" s="116"/>
      <c r="C737" s="117"/>
      <c r="D737" s="118"/>
      <c r="E737" s="103"/>
      <c r="F737" s="104"/>
    </row>
    <row r="738" spans="1:6" x14ac:dyDescent="0.2">
      <c r="A738" s="113"/>
      <c r="B738" s="116"/>
      <c r="C738" s="117"/>
      <c r="D738" s="118"/>
      <c r="E738" s="103"/>
      <c r="F738" s="104"/>
    </row>
    <row r="739" spans="1:6" x14ac:dyDescent="0.2">
      <c r="A739" s="113"/>
      <c r="B739" s="116"/>
      <c r="C739" s="117"/>
      <c r="D739" s="118"/>
      <c r="E739" s="103"/>
      <c r="F739" s="104"/>
    </row>
    <row r="740" spans="1:6" x14ac:dyDescent="0.2">
      <c r="A740" s="113"/>
      <c r="B740" s="116"/>
      <c r="C740" s="117"/>
      <c r="D740" s="118"/>
      <c r="E740" s="103"/>
      <c r="F740" s="104"/>
    </row>
    <row r="741" spans="1:6" x14ac:dyDescent="0.2">
      <c r="A741" s="113"/>
      <c r="B741" s="116"/>
      <c r="C741" s="117"/>
      <c r="D741" s="118"/>
      <c r="E741" s="103"/>
      <c r="F741" s="104"/>
    </row>
    <row r="742" spans="1:6" x14ac:dyDescent="0.2">
      <c r="A742" s="113"/>
      <c r="B742" s="116"/>
      <c r="C742" s="117"/>
      <c r="D742" s="118"/>
      <c r="E742" s="103"/>
      <c r="F742" s="104"/>
    </row>
    <row r="743" spans="1:6" x14ac:dyDescent="0.2">
      <c r="A743" s="113"/>
      <c r="B743" s="116"/>
      <c r="C743" s="117"/>
      <c r="D743" s="118"/>
      <c r="E743" s="103"/>
      <c r="F743" s="104"/>
    </row>
    <row r="744" spans="1:6" x14ac:dyDescent="0.2">
      <c r="A744" s="113"/>
      <c r="B744" s="116"/>
      <c r="C744" s="117"/>
      <c r="D744" s="118"/>
      <c r="E744" s="103"/>
      <c r="F744" s="104"/>
    </row>
    <row r="745" spans="1:6" x14ac:dyDescent="0.2">
      <c r="A745" s="113"/>
      <c r="B745" s="116"/>
      <c r="C745" s="117"/>
      <c r="D745" s="118"/>
      <c r="E745" s="103"/>
      <c r="F745" s="104"/>
    </row>
    <row r="746" spans="1:6" x14ac:dyDescent="0.2">
      <c r="A746" s="113"/>
      <c r="B746" s="116"/>
      <c r="C746" s="117"/>
      <c r="D746" s="118"/>
      <c r="E746" s="103"/>
      <c r="F746" s="104"/>
    </row>
    <row r="747" spans="1:6" x14ac:dyDescent="0.2">
      <c r="A747" s="113"/>
      <c r="B747" s="116"/>
      <c r="C747" s="117"/>
      <c r="D747" s="118"/>
      <c r="E747" s="103"/>
      <c r="F747" s="104"/>
    </row>
    <row r="748" spans="1:6" x14ac:dyDescent="0.2">
      <c r="A748" s="113"/>
      <c r="B748" s="116"/>
      <c r="C748" s="117"/>
      <c r="D748" s="118"/>
      <c r="E748" s="103"/>
      <c r="F748" s="104"/>
    </row>
    <row r="749" spans="1:6" x14ac:dyDescent="0.2">
      <c r="A749" s="113"/>
      <c r="B749" s="116"/>
      <c r="C749" s="117"/>
      <c r="D749" s="118"/>
      <c r="E749" s="103"/>
      <c r="F749" s="104"/>
    </row>
    <row r="750" spans="1:6" x14ac:dyDescent="0.2">
      <c r="A750" s="113"/>
      <c r="B750" s="116"/>
      <c r="C750" s="117"/>
      <c r="D750" s="118"/>
      <c r="E750" s="103"/>
      <c r="F750" s="104"/>
    </row>
    <row r="751" spans="1:6" x14ac:dyDescent="0.2">
      <c r="A751" s="113"/>
      <c r="B751" s="116"/>
      <c r="C751" s="117"/>
      <c r="D751" s="118"/>
      <c r="E751" s="103"/>
      <c r="F751" s="104"/>
    </row>
    <row r="752" spans="1:6" x14ac:dyDescent="0.2">
      <c r="A752" s="113"/>
      <c r="B752" s="116"/>
      <c r="C752" s="117"/>
      <c r="D752" s="118"/>
      <c r="E752" s="103"/>
      <c r="F752" s="104"/>
    </row>
    <row r="753" spans="1:6" x14ac:dyDescent="0.2">
      <c r="A753" s="113"/>
      <c r="B753" s="116"/>
      <c r="C753" s="117"/>
      <c r="D753" s="118"/>
      <c r="E753" s="103"/>
      <c r="F753" s="104"/>
    </row>
    <row r="754" spans="1:6" x14ac:dyDescent="0.2">
      <c r="A754" s="113"/>
      <c r="B754" s="116"/>
      <c r="C754" s="117"/>
      <c r="D754" s="118"/>
      <c r="E754" s="103"/>
      <c r="F754" s="104"/>
    </row>
    <row r="755" spans="1:6" x14ac:dyDescent="0.2">
      <c r="A755" s="113"/>
      <c r="B755" s="116"/>
      <c r="C755" s="117"/>
      <c r="D755" s="118"/>
      <c r="E755" s="103"/>
      <c r="F755" s="104"/>
    </row>
    <row r="756" spans="1:6" x14ac:dyDescent="0.2">
      <c r="A756" s="113"/>
      <c r="B756" s="116"/>
      <c r="C756" s="117"/>
      <c r="D756" s="118"/>
      <c r="E756" s="103"/>
      <c r="F756" s="104"/>
    </row>
    <row r="757" spans="1:6" x14ac:dyDescent="0.2">
      <c r="A757" s="113"/>
      <c r="B757" s="116"/>
      <c r="C757" s="117"/>
      <c r="D757" s="118"/>
      <c r="E757" s="103"/>
      <c r="F757" s="104"/>
    </row>
    <row r="758" spans="1:6" x14ac:dyDescent="0.2">
      <c r="A758" s="113"/>
      <c r="B758" s="116"/>
      <c r="C758" s="117"/>
      <c r="D758" s="118"/>
      <c r="E758" s="103"/>
      <c r="F758" s="104"/>
    </row>
    <row r="759" spans="1:6" x14ac:dyDescent="0.2">
      <c r="A759" s="113"/>
      <c r="B759" s="116"/>
      <c r="C759" s="117"/>
      <c r="D759" s="118"/>
      <c r="E759" s="103"/>
      <c r="F759" s="104"/>
    </row>
    <row r="760" spans="1:6" x14ac:dyDescent="0.2">
      <c r="A760" s="113"/>
      <c r="B760" s="116"/>
      <c r="C760" s="117"/>
      <c r="D760" s="118"/>
      <c r="E760" s="103"/>
      <c r="F760" s="104"/>
    </row>
    <row r="761" spans="1:6" x14ac:dyDescent="0.2">
      <c r="A761" s="113"/>
      <c r="B761" s="116"/>
      <c r="C761" s="117"/>
      <c r="D761" s="118"/>
      <c r="E761" s="103"/>
      <c r="F761" s="104"/>
    </row>
    <row r="762" spans="1:6" x14ac:dyDescent="0.2">
      <c r="A762" s="113"/>
      <c r="B762" s="116"/>
      <c r="C762" s="117"/>
      <c r="D762" s="118"/>
      <c r="E762" s="103"/>
      <c r="F762" s="104"/>
    </row>
    <row r="763" spans="1:6" x14ac:dyDescent="0.2">
      <c r="A763" s="113"/>
      <c r="B763" s="116"/>
      <c r="C763" s="117"/>
      <c r="D763" s="118"/>
      <c r="E763" s="103"/>
      <c r="F763" s="104"/>
    </row>
    <row r="764" spans="1:6" x14ac:dyDescent="0.2">
      <c r="A764" s="113"/>
      <c r="B764" s="116"/>
      <c r="C764" s="117"/>
      <c r="D764" s="118"/>
      <c r="E764" s="103"/>
      <c r="F764" s="104"/>
    </row>
    <row r="765" spans="1:6" x14ac:dyDescent="0.2">
      <c r="A765" s="113"/>
      <c r="B765" s="116"/>
      <c r="C765" s="117"/>
      <c r="D765" s="118"/>
      <c r="E765" s="103"/>
      <c r="F765" s="104"/>
    </row>
    <row r="766" spans="1:6" x14ac:dyDescent="0.2">
      <c r="A766" s="113"/>
      <c r="B766" s="116"/>
      <c r="C766" s="117"/>
      <c r="D766" s="118"/>
      <c r="E766" s="103"/>
      <c r="F766" s="104"/>
    </row>
    <row r="767" spans="1:6" x14ac:dyDescent="0.2">
      <c r="A767" s="113"/>
      <c r="B767" s="116"/>
      <c r="C767" s="117"/>
      <c r="D767" s="118"/>
      <c r="E767" s="103"/>
      <c r="F767" s="104"/>
    </row>
    <row r="768" spans="1:6" x14ac:dyDescent="0.2">
      <c r="A768" s="113"/>
      <c r="B768" s="116"/>
      <c r="C768" s="117"/>
      <c r="D768" s="118"/>
      <c r="E768" s="103"/>
      <c r="F768" s="104"/>
    </row>
    <row r="769" spans="1:6" x14ac:dyDescent="0.2">
      <c r="A769" s="113"/>
      <c r="B769" s="116"/>
      <c r="C769" s="117"/>
      <c r="D769" s="118"/>
      <c r="E769" s="103"/>
      <c r="F769" s="104"/>
    </row>
    <row r="770" spans="1:6" x14ac:dyDescent="0.2">
      <c r="A770" s="113"/>
      <c r="B770" s="116"/>
      <c r="C770" s="117"/>
      <c r="D770" s="118"/>
      <c r="E770" s="103"/>
      <c r="F770" s="104"/>
    </row>
    <row r="771" spans="1:6" x14ac:dyDescent="0.2">
      <c r="A771" s="113"/>
      <c r="B771" s="116"/>
      <c r="C771" s="117"/>
      <c r="D771" s="118"/>
      <c r="E771" s="103"/>
      <c r="F771" s="104"/>
    </row>
    <row r="772" spans="1:6" x14ac:dyDescent="0.2">
      <c r="A772" s="113"/>
      <c r="B772" s="116"/>
      <c r="C772" s="117"/>
      <c r="D772" s="118"/>
      <c r="E772" s="103"/>
      <c r="F772" s="104"/>
    </row>
    <row r="773" spans="1:6" x14ac:dyDescent="0.2">
      <c r="A773" s="113"/>
      <c r="B773" s="116"/>
      <c r="C773" s="117"/>
      <c r="D773" s="118"/>
      <c r="E773" s="103"/>
      <c r="F773" s="104"/>
    </row>
    <row r="774" spans="1:6" x14ac:dyDescent="0.2">
      <c r="A774" s="113"/>
      <c r="B774" s="116"/>
      <c r="C774" s="117"/>
      <c r="D774" s="118"/>
      <c r="E774" s="103"/>
      <c r="F774" s="104"/>
    </row>
    <row r="775" spans="1:6" x14ac:dyDescent="0.2">
      <c r="A775" s="113"/>
      <c r="B775" s="116"/>
      <c r="C775" s="117"/>
      <c r="D775" s="118"/>
      <c r="E775" s="103"/>
      <c r="F775" s="104"/>
    </row>
    <row r="776" spans="1:6" x14ac:dyDescent="0.2">
      <c r="A776" s="113"/>
      <c r="B776" s="116"/>
      <c r="C776" s="117"/>
      <c r="D776" s="118"/>
      <c r="E776" s="103"/>
      <c r="F776" s="104"/>
    </row>
    <row r="777" spans="1:6" x14ac:dyDescent="0.2">
      <c r="A777" s="113"/>
      <c r="B777" s="116"/>
      <c r="C777" s="117"/>
      <c r="D777" s="118"/>
      <c r="E777" s="103"/>
      <c r="F777" s="104"/>
    </row>
    <row r="778" spans="1:6" x14ac:dyDescent="0.2">
      <c r="A778" s="113"/>
      <c r="B778" s="116"/>
      <c r="C778" s="117"/>
      <c r="D778" s="118"/>
      <c r="E778" s="103"/>
      <c r="F778" s="104"/>
    </row>
    <row r="779" spans="1:6" x14ac:dyDescent="0.2">
      <c r="A779" s="113"/>
      <c r="B779" s="116"/>
      <c r="C779" s="117"/>
      <c r="D779" s="118"/>
      <c r="E779" s="103"/>
      <c r="F779" s="104"/>
    </row>
    <row r="780" spans="1:6" x14ac:dyDescent="0.2">
      <c r="A780" s="113"/>
      <c r="B780" s="116"/>
      <c r="C780" s="117"/>
      <c r="D780" s="118"/>
      <c r="E780" s="103"/>
      <c r="F780" s="104"/>
    </row>
    <row r="781" spans="1:6" x14ac:dyDescent="0.2">
      <c r="A781" s="113"/>
      <c r="B781" s="116"/>
      <c r="C781" s="117"/>
      <c r="D781" s="118"/>
      <c r="E781" s="103"/>
      <c r="F781" s="104"/>
    </row>
    <row r="782" spans="1:6" x14ac:dyDescent="0.2">
      <c r="A782" s="113"/>
      <c r="B782" s="116"/>
      <c r="C782" s="117"/>
      <c r="D782" s="118"/>
      <c r="E782" s="103"/>
      <c r="F782" s="104"/>
    </row>
    <row r="783" spans="1:6" x14ac:dyDescent="0.2">
      <c r="A783" s="113"/>
      <c r="B783" s="116"/>
      <c r="C783" s="117"/>
      <c r="D783" s="118"/>
      <c r="E783" s="103"/>
      <c r="F783" s="104"/>
    </row>
    <row r="784" spans="1:6" x14ac:dyDescent="0.2">
      <c r="A784" s="113"/>
      <c r="B784" s="116"/>
      <c r="C784" s="117"/>
      <c r="D784" s="118"/>
      <c r="E784" s="103"/>
      <c r="F784" s="104"/>
    </row>
    <row r="785" spans="1:6" x14ac:dyDescent="0.2">
      <c r="A785" s="113"/>
      <c r="B785" s="116"/>
      <c r="C785" s="117"/>
      <c r="D785" s="118"/>
      <c r="E785" s="103"/>
      <c r="F785" s="104"/>
    </row>
    <row r="786" spans="1:6" x14ac:dyDescent="0.2">
      <c r="A786" s="113"/>
      <c r="B786" s="116"/>
      <c r="C786" s="117"/>
      <c r="D786" s="118"/>
      <c r="E786" s="103"/>
      <c r="F786" s="104"/>
    </row>
    <row r="787" spans="1:6" x14ac:dyDescent="0.2">
      <c r="A787" s="113"/>
      <c r="B787" s="116"/>
      <c r="C787" s="117"/>
      <c r="D787" s="118"/>
      <c r="E787" s="103"/>
      <c r="F787" s="104"/>
    </row>
    <row r="788" spans="1:6" x14ac:dyDescent="0.2">
      <c r="A788" s="113"/>
      <c r="B788" s="116"/>
      <c r="C788" s="117"/>
      <c r="D788" s="118"/>
      <c r="E788" s="103"/>
      <c r="F788" s="104"/>
    </row>
    <row r="789" spans="1:6" x14ac:dyDescent="0.2">
      <c r="A789" s="113"/>
      <c r="B789" s="116"/>
      <c r="C789" s="117"/>
      <c r="D789" s="118"/>
      <c r="E789" s="103"/>
      <c r="F789" s="104"/>
    </row>
    <row r="790" spans="1:6" x14ac:dyDescent="0.2">
      <c r="A790" s="113"/>
      <c r="B790" s="116"/>
      <c r="C790" s="117"/>
      <c r="D790" s="118"/>
      <c r="E790" s="103"/>
      <c r="F790" s="104"/>
    </row>
    <row r="791" spans="1:6" x14ac:dyDescent="0.2">
      <c r="A791" s="113"/>
      <c r="B791" s="116"/>
      <c r="C791" s="117"/>
      <c r="D791" s="118"/>
      <c r="E791" s="103"/>
      <c r="F791" s="104"/>
    </row>
    <row r="792" spans="1:6" x14ac:dyDescent="0.2">
      <c r="A792" s="113"/>
      <c r="B792" s="116"/>
      <c r="C792" s="117"/>
      <c r="D792" s="118"/>
      <c r="E792" s="103"/>
      <c r="F792" s="104"/>
    </row>
    <row r="793" spans="1:6" x14ac:dyDescent="0.2">
      <c r="A793" s="113"/>
      <c r="B793" s="116"/>
      <c r="C793" s="117"/>
      <c r="D793" s="118"/>
      <c r="E793" s="103"/>
      <c r="F793" s="104"/>
    </row>
    <row r="794" spans="1:6" x14ac:dyDescent="0.2">
      <c r="A794" s="113"/>
      <c r="B794" s="116"/>
      <c r="C794" s="117"/>
      <c r="D794" s="118"/>
      <c r="E794" s="103"/>
      <c r="F794" s="104"/>
    </row>
    <row r="795" spans="1:6" x14ac:dyDescent="0.2">
      <c r="A795" s="113"/>
      <c r="B795" s="116"/>
      <c r="C795" s="117"/>
      <c r="D795" s="118"/>
      <c r="E795" s="103"/>
      <c r="F795" s="104"/>
    </row>
    <row r="796" spans="1:6" x14ac:dyDescent="0.2">
      <c r="A796" s="113"/>
      <c r="B796" s="116"/>
      <c r="C796" s="117"/>
      <c r="D796" s="118"/>
      <c r="E796" s="103"/>
      <c r="F796" s="104"/>
    </row>
    <row r="797" spans="1:6" x14ac:dyDescent="0.2">
      <c r="A797" s="113"/>
      <c r="B797" s="116"/>
      <c r="C797" s="117"/>
      <c r="D797" s="118"/>
      <c r="E797" s="103"/>
      <c r="F797" s="104"/>
    </row>
    <row r="798" spans="1:6" x14ac:dyDescent="0.2">
      <c r="A798" s="113"/>
      <c r="B798" s="116"/>
      <c r="C798" s="117"/>
      <c r="D798" s="118"/>
      <c r="E798" s="103"/>
      <c r="F798" s="104"/>
    </row>
    <row r="799" spans="1:6" x14ac:dyDescent="0.2">
      <c r="A799" s="113"/>
      <c r="B799" s="116"/>
      <c r="C799" s="117"/>
      <c r="D799" s="118"/>
      <c r="E799" s="103"/>
      <c r="F799" s="104"/>
    </row>
    <row r="800" spans="1:6" x14ac:dyDescent="0.2">
      <c r="A800" s="113"/>
      <c r="B800" s="116"/>
      <c r="C800" s="117"/>
      <c r="D800" s="118"/>
      <c r="E800" s="103"/>
      <c r="F800" s="104"/>
    </row>
    <row r="801" spans="1:6" x14ac:dyDescent="0.2">
      <c r="A801" s="113"/>
      <c r="B801" s="116"/>
      <c r="C801" s="117"/>
      <c r="D801" s="118"/>
      <c r="E801" s="103"/>
      <c r="F801" s="104"/>
    </row>
    <row r="802" spans="1:6" x14ac:dyDescent="0.2">
      <c r="A802" s="113"/>
      <c r="B802" s="116"/>
      <c r="C802" s="117"/>
      <c r="D802" s="118"/>
      <c r="E802" s="103"/>
      <c r="F802" s="104"/>
    </row>
    <row r="803" spans="1:6" x14ac:dyDescent="0.2">
      <c r="A803" s="113"/>
      <c r="B803" s="116"/>
      <c r="C803" s="117"/>
      <c r="D803" s="118"/>
      <c r="E803" s="103"/>
      <c r="F803" s="104"/>
    </row>
    <row r="804" spans="1:6" x14ac:dyDescent="0.2">
      <c r="A804" s="113"/>
      <c r="B804" s="116"/>
      <c r="C804" s="117"/>
      <c r="D804" s="118"/>
      <c r="E804" s="103"/>
      <c r="F804" s="104"/>
    </row>
    <row r="805" spans="1:6" x14ac:dyDescent="0.2">
      <c r="A805" s="113"/>
      <c r="B805" s="116"/>
      <c r="C805" s="117"/>
      <c r="D805" s="118"/>
      <c r="E805" s="103"/>
      <c r="F805" s="104"/>
    </row>
    <row r="806" spans="1:6" x14ac:dyDescent="0.2">
      <c r="A806" s="113"/>
      <c r="B806" s="116"/>
      <c r="C806" s="117"/>
      <c r="D806" s="118"/>
      <c r="E806" s="103"/>
      <c r="F806" s="104"/>
    </row>
    <row r="807" spans="1:6" x14ac:dyDescent="0.2">
      <c r="A807" s="113"/>
      <c r="B807" s="116"/>
      <c r="C807" s="117"/>
      <c r="D807" s="118"/>
      <c r="E807" s="103"/>
      <c r="F807" s="104"/>
    </row>
    <row r="808" spans="1:6" x14ac:dyDescent="0.2">
      <c r="A808" s="113"/>
      <c r="B808" s="116"/>
      <c r="C808" s="117"/>
      <c r="D808" s="118"/>
      <c r="E808" s="103"/>
      <c r="F808" s="104"/>
    </row>
    <row r="809" spans="1:6" x14ac:dyDescent="0.2">
      <c r="A809" s="113"/>
      <c r="B809" s="116"/>
      <c r="C809" s="117"/>
      <c r="D809" s="118"/>
      <c r="E809" s="103"/>
      <c r="F809" s="104"/>
    </row>
    <row r="810" spans="1:6" x14ac:dyDescent="0.2">
      <c r="A810" s="113"/>
      <c r="B810" s="116"/>
      <c r="C810" s="117"/>
      <c r="D810" s="118"/>
      <c r="E810" s="103"/>
      <c r="F810" s="104"/>
    </row>
    <row r="811" spans="1:6" x14ac:dyDescent="0.2">
      <c r="A811" s="113"/>
      <c r="B811" s="116"/>
      <c r="C811" s="117"/>
      <c r="D811" s="118"/>
      <c r="E811" s="103"/>
      <c r="F811" s="104"/>
    </row>
    <row r="812" spans="1:6" x14ac:dyDescent="0.2">
      <c r="A812" s="113"/>
      <c r="B812" s="116"/>
      <c r="C812" s="117"/>
      <c r="D812" s="118"/>
      <c r="E812" s="103"/>
      <c r="F812" s="104"/>
    </row>
    <row r="813" spans="1:6" x14ac:dyDescent="0.2">
      <c r="A813" s="113"/>
      <c r="B813" s="116"/>
      <c r="C813" s="117"/>
      <c r="D813" s="118"/>
      <c r="E813" s="103"/>
      <c r="F813" s="104"/>
    </row>
    <row r="814" spans="1:6" x14ac:dyDescent="0.2">
      <c r="A814" s="113"/>
      <c r="B814" s="116"/>
      <c r="C814" s="117"/>
      <c r="D814" s="118"/>
      <c r="E814" s="103"/>
      <c r="F814" s="104"/>
    </row>
    <row r="815" spans="1:6" x14ac:dyDescent="0.2">
      <c r="A815" s="113"/>
      <c r="B815" s="116"/>
      <c r="C815" s="117"/>
      <c r="D815" s="118"/>
      <c r="E815" s="103"/>
      <c r="F815" s="104"/>
    </row>
    <row r="816" spans="1:6" x14ac:dyDescent="0.2">
      <c r="A816" s="113"/>
      <c r="B816" s="116"/>
      <c r="C816" s="117"/>
      <c r="D816" s="118"/>
      <c r="E816" s="103"/>
      <c r="F816" s="104"/>
    </row>
    <row r="817" spans="1:6" x14ac:dyDescent="0.2">
      <c r="A817" s="113"/>
      <c r="B817" s="116"/>
      <c r="C817" s="117"/>
      <c r="D817" s="118"/>
      <c r="E817" s="103"/>
      <c r="F817" s="104"/>
    </row>
    <row r="818" spans="1:6" x14ac:dyDescent="0.2">
      <c r="A818" s="113"/>
      <c r="B818" s="116"/>
      <c r="C818" s="117"/>
      <c r="D818" s="118"/>
      <c r="E818" s="103"/>
      <c r="F818" s="104"/>
    </row>
    <row r="819" spans="1:6" x14ac:dyDescent="0.2">
      <c r="A819" s="113"/>
      <c r="B819" s="116"/>
      <c r="C819" s="117"/>
      <c r="D819" s="118"/>
      <c r="E819" s="103"/>
      <c r="F819" s="104"/>
    </row>
    <row r="820" spans="1:6" x14ac:dyDescent="0.2">
      <c r="A820" s="113"/>
      <c r="B820" s="116"/>
      <c r="C820" s="117"/>
      <c r="D820" s="118"/>
      <c r="E820" s="103"/>
      <c r="F820" s="104"/>
    </row>
    <row r="821" spans="1:6" x14ac:dyDescent="0.2">
      <c r="A821" s="113"/>
      <c r="B821" s="116"/>
      <c r="C821" s="117"/>
      <c r="D821" s="118"/>
      <c r="E821" s="103"/>
      <c r="F821" s="104"/>
    </row>
    <row r="822" spans="1:6" x14ac:dyDescent="0.2">
      <c r="A822" s="113"/>
      <c r="B822" s="116"/>
      <c r="C822" s="117"/>
      <c r="D822" s="118"/>
      <c r="E822" s="103"/>
      <c r="F822" s="104"/>
    </row>
    <row r="823" spans="1:6" x14ac:dyDescent="0.2">
      <c r="A823" s="113"/>
      <c r="B823" s="116"/>
      <c r="C823" s="117"/>
      <c r="D823" s="118"/>
      <c r="E823" s="103"/>
      <c r="F823" s="104"/>
    </row>
    <row r="824" spans="1:6" x14ac:dyDescent="0.2">
      <c r="A824" s="113"/>
      <c r="B824" s="116"/>
      <c r="C824" s="117"/>
      <c r="D824" s="118"/>
      <c r="E824" s="103"/>
      <c r="F824" s="104"/>
    </row>
    <row r="825" spans="1:6" x14ac:dyDescent="0.2">
      <c r="A825" s="113"/>
      <c r="B825" s="116"/>
      <c r="C825" s="117"/>
      <c r="D825" s="118"/>
      <c r="E825" s="103"/>
      <c r="F825" s="104"/>
    </row>
    <row r="826" spans="1:6" x14ac:dyDescent="0.2">
      <c r="A826" s="113"/>
      <c r="B826" s="116"/>
      <c r="C826" s="117"/>
      <c r="D826" s="118"/>
      <c r="E826" s="103"/>
      <c r="F826" s="104"/>
    </row>
    <row r="827" spans="1:6" x14ac:dyDescent="0.2">
      <c r="A827" s="113"/>
      <c r="B827" s="116"/>
      <c r="C827" s="117"/>
      <c r="D827" s="118"/>
      <c r="E827" s="103"/>
      <c r="F827" s="104"/>
    </row>
    <row r="828" spans="1:6" x14ac:dyDescent="0.2">
      <c r="A828" s="113"/>
      <c r="B828" s="116"/>
      <c r="C828" s="117"/>
      <c r="D828" s="118"/>
      <c r="E828" s="103"/>
      <c r="F828" s="104"/>
    </row>
    <row r="829" spans="1:6" x14ac:dyDescent="0.2">
      <c r="A829" s="113"/>
      <c r="B829" s="116"/>
      <c r="C829" s="117"/>
      <c r="D829" s="118"/>
      <c r="E829" s="103"/>
      <c r="F829" s="104"/>
    </row>
    <row r="830" spans="1:6" x14ac:dyDescent="0.2">
      <c r="A830" s="113"/>
      <c r="B830" s="116"/>
      <c r="C830" s="117"/>
      <c r="D830" s="118"/>
      <c r="E830" s="103"/>
      <c r="F830" s="104"/>
    </row>
    <row r="831" spans="1:6" x14ac:dyDescent="0.2">
      <c r="A831" s="113"/>
      <c r="B831" s="116"/>
      <c r="C831" s="117"/>
      <c r="D831" s="118"/>
      <c r="E831" s="103"/>
      <c r="F831" s="104"/>
    </row>
    <row r="832" spans="1:6" x14ac:dyDescent="0.2">
      <c r="A832" s="113"/>
      <c r="B832" s="116"/>
      <c r="C832" s="117"/>
      <c r="D832" s="118"/>
      <c r="E832" s="103"/>
      <c r="F832" s="104"/>
    </row>
    <row r="833" spans="1:6" x14ac:dyDescent="0.2">
      <c r="A833" s="113"/>
      <c r="B833" s="116"/>
      <c r="C833" s="117"/>
      <c r="D833" s="118"/>
      <c r="E833" s="103"/>
      <c r="F833" s="104"/>
    </row>
    <row r="834" spans="1:6" x14ac:dyDescent="0.2">
      <c r="A834" s="113"/>
      <c r="B834" s="116"/>
      <c r="C834" s="117"/>
      <c r="D834" s="118"/>
      <c r="E834" s="103"/>
      <c r="F834" s="104"/>
    </row>
    <row r="835" spans="1:6" x14ac:dyDescent="0.2">
      <c r="A835" s="113"/>
      <c r="B835" s="116"/>
      <c r="C835" s="117"/>
      <c r="D835" s="118"/>
      <c r="E835" s="103"/>
      <c r="F835" s="104"/>
    </row>
    <row r="836" spans="1:6" x14ac:dyDescent="0.2">
      <c r="A836" s="113"/>
      <c r="B836" s="116"/>
      <c r="C836" s="117"/>
      <c r="D836" s="118"/>
      <c r="E836" s="103"/>
      <c r="F836" s="104"/>
    </row>
    <row r="837" spans="1:6" x14ac:dyDescent="0.2">
      <c r="A837" s="113"/>
      <c r="B837" s="116"/>
      <c r="C837" s="117"/>
      <c r="D837" s="118"/>
      <c r="E837" s="103"/>
      <c r="F837" s="104"/>
    </row>
    <row r="838" spans="1:6" x14ac:dyDescent="0.2">
      <c r="A838" s="113"/>
      <c r="B838" s="116"/>
      <c r="C838" s="117"/>
      <c r="D838" s="118"/>
      <c r="E838" s="103"/>
      <c r="F838" s="104"/>
    </row>
    <row r="839" spans="1:6" x14ac:dyDescent="0.2">
      <c r="A839" s="113"/>
      <c r="B839" s="116"/>
      <c r="C839" s="117"/>
      <c r="D839" s="118"/>
      <c r="E839" s="103"/>
      <c r="F839" s="104"/>
    </row>
    <row r="840" spans="1:6" x14ac:dyDescent="0.2">
      <c r="A840" s="113"/>
      <c r="B840" s="116"/>
      <c r="C840" s="117"/>
      <c r="D840" s="118"/>
      <c r="E840" s="103"/>
      <c r="F840" s="104"/>
    </row>
    <row r="841" spans="1:6" x14ac:dyDescent="0.2">
      <c r="A841" s="113"/>
      <c r="B841" s="116"/>
      <c r="C841" s="117"/>
      <c r="D841" s="118"/>
      <c r="E841" s="103"/>
      <c r="F841" s="104"/>
    </row>
    <row r="842" spans="1:6" x14ac:dyDescent="0.2">
      <c r="A842" s="113"/>
      <c r="B842" s="116"/>
      <c r="C842" s="117"/>
      <c r="D842" s="118"/>
      <c r="E842" s="103"/>
      <c r="F842" s="104"/>
    </row>
    <row r="843" spans="1:6" x14ac:dyDescent="0.2">
      <c r="A843" s="113"/>
      <c r="B843" s="116"/>
      <c r="C843" s="117"/>
      <c r="D843" s="118"/>
      <c r="E843" s="103"/>
      <c r="F843" s="104"/>
    </row>
    <row r="844" spans="1:6" x14ac:dyDescent="0.2">
      <c r="A844" s="113"/>
      <c r="B844" s="116"/>
      <c r="C844" s="117"/>
      <c r="D844" s="118"/>
      <c r="E844" s="103"/>
      <c r="F844" s="104"/>
    </row>
    <row r="845" spans="1:6" x14ac:dyDescent="0.2">
      <c r="A845" s="113"/>
      <c r="B845" s="116"/>
      <c r="C845" s="117"/>
      <c r="D845" s="118"/>
      <c r="E845" s="103"/>
      <c r="F845" s="104"/>
    </row>
    <row r="846" spans="1:6" x14ac:dyDescent="0.2">
      <c r="A846" s="113"/>
      <c r="B846" s="116"/>
      <c r="C846" s="117"/>
      <c r="D846" s="118"/>
      <c r="E846" s="103"/>
      <c r="F846" s="104"/>
    </row>
    <row r="847" spans="1:6" x14ac:dyDescent="0.2">
      <c r="A847" s="113"/>
      <c r="B847" s="116"/>
      <c r="C847" s="117"/>
      <c r="D847" s="118"/>
      <c r="E847" s="103"/>
      <c r="F847" s="104"/>
    </row>
    <row r="848" spans="1:6" x14ac:dyDescent="0.2">
      <c r="A848" s="113"/>
      <c r="B848" s="116"/>
      <c r="C848" s="117"/>
      <c r="D848" s="118"/>
      <c r="E848" s="103"/>
      <c r="F848" s="104"/>
    </row>
    <row r="849" spans="1:6" x14ac:dyDescent="0.2">
      <c r="A849" s="113"/>
      <c r="B849" s="116"/>
      <c r="C849" s="117"/>
      <c r="D849" s="118"/>
      <c r="E849" s="103"/>
      <c r="F849" s="104"/>
    </row>
    <row r="850" spans="1:6" x14ac:dyDescent="0.2">
      <c r="A850" s="113"/>
      <c r="B850" s="116"/>
      <c r="C850" s="117"/>
      <c r="D850" s="118"/>
      <c r="E850" s="103"/>
      <c r="F850" s="104"/>
    </row>
    <row r="851" spans="1:6" x14ac:dyDescent="0.2">
      <c r="A851" s="113"/>
      <c r="B851" s="116"/>
      <c r="C851" s="117"/>
      <c r="D851" s="118"/>
      <c r="E851" s="103"/>
      <c r="F851" s="104"/>
    </row>
    <row r="852" spans="1:6" x14ac:dyDescent="0.2">
      <c r="A852" s="113"/>
      <c r="B852" s="116"/>
      <c r="C852" s="117"/>
      <c r="D852" s="118"/>
      <c r="E852" s="103"/>
      <c r="F852" s="104"/>
    </row>
    <row r="853" spans="1:6" x14ac:dyDescent="0.2">
      <c r="A853" s="113"/>
      <c r="B853" s="116"/>
      <c r="C853" s="117"/>
      <c r="D853" s="118"/>
      <c r="E853" s="103"/>
      <c r="F853" s="104"/>
    </row>
    <row r="854" spans="1:6" x14ac:dyDescent="0.2">
      <c r="A854" s="113"/>
      <c r="B854" s="116"/>
      <c r="C854" s="117"/>
      <c r="D854" s="118"/>
      <c r="E854" s="103"/>
      <c r="F854" s="104"/>
    </row>
    <row r="855" spans="1:6" x14ac:dyDescent="0.2">
      <c r="A855" s="113"/>
      <c r="B855" s="116"/>
      <c r="C855" s="117"/>
      <c r="D855" s="118"/>
      <c r="E855" s="103"/>
      <c r="F855" s="104"/>
    </row>
    <row r="856" spans="1:6" x14ac:dyDescent="0.2">
      <c r="A856" s="113"/>
      <c r="B856" s="116"/>
      <c r="C856" s="117"/>
      <c r="D856" s="118"/>
      <c r="E856" s="103"/>
      <c r="F856" s="104"/>
    </row>
    <row r="857" spans="1:6" x14ac:dyDescent="0.2">
      <c r="A857" s="113"/>
      <c r="B857" s="116"/>
      <c r="C857" s="117"/>
      <c r="D857" s="118"/>
      <c r="E857" s="103"/>
      <c r="F857" s="104"/>
    </row>
    <row r="858" spans="1:6" x14ac:dyDescent="0.2">
      <c r="A858" s="113"/>
      <c r="B858" s="116"/>
      <c r="C858" s="117"/>
      <c r="D858" s="118"/>
      <c r="E858" s="103"/>
      <c r="F858" s="104"/>
    </row>
    <row r="859" spans="1:6" x14ac:dyDescent="0.2">
      <c r="A859" s="113"/>
      <c r="B859" s="116"/>
      <c r="C859" s="117"/>
      <c r="D859" s="118"/>
      <c r="E859" s="103"/>
      <c r="F859" s="104"/>
    </row>
    <row r="860" spans="1:6" x14ac:dyDescent="0.2">
      <c r="A860" s="113"/>
      <c r="B860" s="116"/>
      <c r="C860" s="117"/>
      <c r="D860" s="118"/>
      <c r="E860" s="103"/>
      <c r="F860" s="104"/>
    </row>
    <row r="861" spans="1:6" x14ac:dyDescent="0.2">
      <c r="A861" s="113"/>
      <c r="B861" s="116"/>
      <c r="C861" s="117"/>
      <c r="D861" s="118"/>
      <c r="E861" s="103"/>
      <c r="F861" s="104"/>
    </row>
    <row r="862" spans="1:6" x14ac:dyDescent="0.2">
      <c r="A862" s="113"/>
      <c r="B862" s="116"/>
      <c r="C862" s="117"/>
      <c r="D862" s="118"/>
      <c r="E862" s="103"/>
      <c r="F862" s="104"/>
    </row>
    <row r="863" spans="1:6" x14ac:dyDescent="0.2">
      <c r="A863" s="113"/>
      <c r="B863" s="116"/>
      <c r="C863" s="117"/>
      <c r="D863" s="118"/>
      <c r="E863" s="103"/>
      <c r="F863" s="104"/>
    </row>
    <row r="864" spans="1:6" x14ac:dyDescent="0.2">
      <c r="A864" s="113"/>
      <c r="B864" s="116"/>
      <c r="C864" s="117"/>
      <c r="D864" s="118"/>
      <c r="E864" s="103"/>
      <c r="F864" s="104"/>
    </row>
    <row r="865" spans="1:6" x14ac:dyDescent="0.2">
      <c r="A865" s="113"/>
      <c r="B865" s="103"/>
      <c r="C865" s="63"/>
      <c r="D865" s="118"/>
      <c r="E865" s="103"/>
      <c r="F865" s="104"/>
    </row>
    <row r="866" spans="1:6" x14ac:dyDescent="0.2">
      <c r="A866" s="113"/>
      <c r="B866" s="103"/>
      <c r="C866" s="63"/>
      <c r="D866" s="118"/>
      <c r="E866" s="103"/>
      <c r="F866" s="104"/>
    </row>
    <row r="867" spans="1:6" x14ac:dyDescent="0.2">
      <c r="A867" s="113"/>
      <c r="B867" s="103"/>
      <c r="C867" s="63"/>
      <c r="D867" s="118"/>
      <c r="E867" s="103"/>
      <c r="F867" s="104"/>
    </row>
    <row r="868" spans="1:6" x14ac:dyDescent="0.2">
      <c r="A868" s="113"/>
      <c r="B868" s="103"/>
      <c r="C868" s="63"/>
      <c r="D868" s="118"/>
      <c r="E868" s="103"/>
      <c r="F868" s="104"/>
    </row>
    <row r="869" spans="1:6" x14ac:dyDescent="0.2">
      <c r="A869" s="113"/>
      <c r="B869" s="103"/>
      <c r="C869" s="63"/>
      <c r="D869" s="118"/>
      <c r="E869" s="103"/>
      <c r="F869" s="104"/>
    </row>
    <row r="870" spans="1:6" x14ac:dyDescent="0.2">
      <c r="A870" s="113"/>
      <c r="B870" s="103"/>
      <c r="C870" s="63"/>
      <c r="D870" s="118"/>
      <c r="E870" s="103"/>
      <c r="F870" s="104"/>
    </row>
    <row r="871" spans="1:6" x14ac:dyDescent="0.2">
      <c r="A871" s="113"/>
      <c r="B871" s="103"/>
      <c r="C871" s="63"/>
      <c r="D871" s="118"/>
      <c r="E871" s="103"/>
      <c r="F871" s="104"/>
    </row>
    <row r="872" spans="1:6" x14ac:dyDescent="0.2">
      <c r="A872" s="113"/>
      <c r="B872" s="103"/>
      <c r="C872" s="63"/>
      <c r="D872" s="118"/>
      <c r="E872" s="103"/>
      <c r="F872" s="104"/>
    </row>
    <row r="873" spans="1:6" x14ac:dyDescent="0.2">
      <c r="A873" s="113"/>
      <c r="B873" s="103"/>
      <c r="C873" s="63"/>
      <c r="D873" s="118"/>
      <c r="E873" s="103"/>
      <c r="F873" s="104"/>
    </row>
    <row r="874" spans="1:6" x14ac:dyDescent="0.2">
      <c r="A874" s="113"/>
      <c r="B874" s="103"/>
      <c r="C874" s="63"/>
      <c r="D874" s="118"/>
      <c r="E874" s="103"/>
      <c r="F874" s="104"/>
    </row>
    <row r="875" spans="1:6" x14ac:dyDescent="0.2">
      <c r="A875" s="113"/>
      <c r="B875" s="103"/>
      <c r="C875" s="63"/>
      <c r="D875" s="118"/>
      <c r="E875" s="103"/>
      <c r="F875" s="104"/>
    </row>
    <row r="876" spans="1:6" x14ac:dyDescent="0.2">
      <c r="A876" s="113"/>
      <c r="B876" s="103"/>
      <c r="C876" s="63"/>
      <c r="D876" s="118"/>
      <c r="E876" s="103"/>
      <c r="F876" s="104"/>
    </row>
    <row r="877" spans="1:6" x14ac:dyDescent="0.2">
      <c r="A877" s="113"/>
      <c r="B877" s="103"/>
      <c r="C877" s="63"/>
      <c r="D877" s="118"/>
      <c r="E877" s="103"/>
      <c r="F877" s="104"/>
    </row>
    <row r="878" spans="1:6" x14ac:dyDescent="0.2">
      <c r="A878" s="113"/>
      <c r="B878" s="103"/>
      <c r="C878" s="63"/>
      <c r="D878" s="118"/>
      <c r="E878" s="103"/>
      <c r="F878" s="104"/>
    </row>
    <row r="879" spans="1:6" x14ac:dyDescent="0.2">
      <c r="A879" s="113"/>
      <c r="B879" s="103"/>
      <c r="C879" s="63"/>
      <c r="D879" s="118"/>
      <c r="E879" s="103"/>
      <c r="F879" s="104"/>
    </row>
    <row r="880" spans="1:6" x14ac:dyDescent="0.2">
      <c r="A880" s="113"/>
      <c r="B880" s="103"/>
      <c r="C880" s="63"/>
      <c r="D880" s="118"/>
      <c r="E880" s="103"/>
      <c r="F880" s="104"/>
    </row>
    <row r="881" spans="1:6" x14ac:dyDescent="0.2">
      <c r="A881" s="113"/>
      <c r="B881" s="103"/>
      <c r="C881" s="63"/>
      <c r="D881" s="118"/>
      <c r="E881" s="103"/>
      <c r="F881" s="104"/>
    </row>
    <row r="882" spans="1:6" x14ac:dyDescent="0.2">
      <c r="A882" s="113"/>
      <c r="B882" s="103"/>
      <c r="C882" s="63"/>
      <c r="D882" s="118"/>
      <c r="E882" s="103"/>
      <c r="F882" s="104"/>
    </row>
    <row r="883" spans="1:6" x14ac:dyDescent="0.2">
      <c r="A883" s="113"/>
      <c r="B883" s="103"/>
      <c r="C883" s="63"/>
      <c r="D883" s="118"/>
      <c r="E883" s="103"/>
      <c r="F883" s="104"/>
    </row>
    <row r="884" spans="1:6" x14ac:dyDescent="0.2">
      <c r="A884" s="113"/>
      <c r="B884" s="103"/>
      <c r="C884" s="63"/>
      <c r="D884" s="118"/>
      <c r="E884" s="103"/>
      <c r="F884" s="104"/>
    </row>
    <row r="885" spans="1:6" x14ac:dyDescent="0.2">
      <c r="A885" s="113"/>
      <c r="B885" s="103"/>
      <c r="C885" s="63"/>
      <c r="D885" s="118"/>
      <c r="E885" s="103"/>
      <c r="F885" s="104"/>
    </row>
    <row r="886" spans="1:6" x14ac:dyDescent="0.2">
      <c r="A886" s="113"/>
      <c r="B886" s="103"/>
      <c r="C886" s="63"/>
      <c r="D886" s="118"/>
      <c r="E886" s="103"/>
      <c r="F886" s="104"/>
    </row>
    <row r="887" spans="1:6" x14ac:dyDescent="0.2">
      <c r="A887" s="113"/>
      <c r="B887" s="103"/>
      <c r="C887" s="63"/>
      <c r="D887" s="118"/>
      <c r="E887" s="103"/>
      <c r="F887" s="104"/>
    </row>
    <row r="888" spans="1:6" x14ac:dyDescent="0.2">
      <c r="A888" s="113"/>
      <c r="B888" s="103"/>
      <c r="C888" s="63"/>
      <c r="D888" s="118"/>
      <c r="E888" s="103"/>
      <c r="F888" s="104"/>
    </row>
    <row r="889" spans="1:6" x14ac:dyDescent="0.2">
      <c r="A889" s="113"/>
      <c r="B889" s="103"/>
      <c r="C889" s="63"/>
      <c r="D889" s="118"/>
      <c r="E889" s="103"/>
      <c r="F889" s="104"/>
    </row>
    <row r="890" spans="1:6" x14ac:dyDescent="0.2">
      <c r="A890" s="113"/>
      <c r="B890" s="103"/>
      <c r="C890" s="63"/>
      <c r="D890" s="118"/>
      <c r="E890" s="103"/>
      <c r="F890" s="104"/>
    </row>
    <row r="891" spans="1:6" x14ac:dyDescent="0.2">
      <c r="A891" s="113"/>
      <c r="B891" s="103"/>
      <c r="C891" s="63"/>
      <c r="D891" s="118"/>
      <c r="E891" s="103"/>
      <c r="F891" s="104"/>
    </row>
    <row r="892" spans="1:6" x14ac:dyDescent="0.2">
      <c r="A892" s="113"/>
      <c r="B892" s="103"/>
      <c r="C892" s="63"/>
      <c r="D892" s="118"/>
      <c r="E892" s="103"/>
      <c r="F892" s="104"/>
    </row>
    <row r="893" spans="1:6" x14ac:dyDescent="0.2">
      <c r="A893" s="113"/>
      <c r="B893" s="103"/>
      <c r="C893" s="63"/>
      <c r="D893" s="118"/>
      <c r="E893" s="103"/>
      <c r="F893" s="104"/>
    </row>
    <row r="894" spans="1:6" x14ac:dyDescent="0.2">
      <c r="A894" s="113"/>
      <c r="B894" s="103"/>
      <c r="C894" s="63"/>
      <c r="D894" s="118"/>
      <c r="E894" s="103"/>
      <c r="F894" s="104"/>
    </row>
    <row r="895" spans="1:6" x14ac:dyDescent="0.2">
      <c r="A895" s="113"/>
      <c r="B895" s="103"/>
      <c r="C895" s="63"/>
      <c r="D895" s="118"/>
      <c r="E895" s="103"/>
      <c r="F895" s="104"/>
    </row>
    <row r="896" spans="1:6" x14ac:dyDescent="0.2">
      <c r="A896" s="113"/>
      <c r="B896" s="103"/>
      <c r="C896" s="63"/>
      <c r="D896" s="118"/>
      <c r="E896" s="103"/>
      <c r="F896" s="104"/>
    </row>
    <row r="897" spans="1:6" x14ac:dyDescent="0.2">
      <c r="A897" s="113"/>
      <c r="B897" s="103"/>
      <c r="C897" s="63"/>
      <c r="D897" s="118"/>
      <c r="E897" s="103"/>
      <c r="F897" s="104"/>
    </row>
    <row r="898" spans="1:6" x14ac:dyDescent="0.2">
      <c r="A898" s="113"/>
      <c r="B898" s="103"/>
      <c r="C898" s="63"/>
      <c r="D898" s="118"/>
      <c r="E898" s="103"/>
      <c r="F898" s="104"/>
    </row>
    <row r="899" spans="1:6" x14ac:dyDescent="0.2">
      <c r="A899" s="113"/>
      <c r="B899" s="103"/>
      <c r="C899" s="63"/>
      <c r="D899" s="118"/>
      <c r="E899" s="103"/>
      <c r="F899" s="104"/>
    </row>
    <row r="900" spans="1:6" x14ac:dyDescent="0.2">
      <c r="A900" s="113"/>
      <c r="B900" s="103"/>
      <c r="C900" s="63"/>
      <c r="D900" s="118"/>
      <c r="E900" s="103"/>
      <c r="F900" s="104"/>
    </row>
    <row r="901" spans="1:6" x14ac:dyDescent="0.2">
      <c r="A901" s="113"/>
      <c r="B901" s="103"/>
      <c r="C901" s="63"/>
      <c r="D901" s="118"/>
      <c r="E901" s="103"/>
      <c r="F901" s="104"/>
    </row>
    <row r="902" spans="1:6" x14ac:dyDescent="0.2">
      <c r="A902" s="113"/>
      <c r="B902" s="103"/>
      <c r="C902" s="63"/>
      <c r="D902" s="118"/>
      <c r="E902" s="103"/>
      <c r="F902" s="104"/>
    </row>
    <row r="903" spans="1:6" x14ac:dyDescent="0.2">
      <c r="A903" s="113"/>
      <c r="B903" s="103"/>
      <c r="C903" s="63"/>
      <c r="D903" s="118"/>
      <c r="E903" s="103"/>
      <c r="F903" s="104"/>
    </row>
    <row r="904" spans="1:6" x14ac:dyDescent="0.2">
      <c r="A904" s="113"/>
      <c r="B904" s="103"/>
      <c r="C904" s="63"/>
      <c r="D904" s="118"/>
      <c r="E904" s="103"/>
      <c r="F904" s="104"/>
    </row>
    <row r="905" spans="1:6" x14ac:dyDescent="0.2">
      <c r="A905" s="113"/>
      <c r="B905" s="103"/>
      <c r="C905" s="63"/>
      <c r="D905" s="118"/>
      <c r="E905" s="103"/>
      <c r="F905" s="104"/>
    </row>
    <row r="906" spans="1:6" x14ac:dyDescent="0.2">
      <c r="A906" s="113"/>
      <c r="B906" s="103"/>
      <c r="C906" s="63"/>
      <c r="D906" s="118"/>
      <c r="E906" s="103"/>
      <c r="F906" s="104"/>
    </row>
    <row r="907" spans="1:6" x14ac:dyDescent="0.2">
      <c r="A907" s="113"/>
      <c r="B907" s="103"/>
      <c r="C907" s="63"/>
      <c r="D907" s="118"/>
      <c r="E907" s="103"/>
      <c r="F907" s="104"/>
    </row>
    <row r="908" spans="1:6" x14ac:dyDescent="0.2">
      <c r="A908" s="113"/>
      <c r="B908" s="103"/>
      <c r="C908" s="63"/>
      <c r="D908" s="118"/>
      <c r="E908" s="103"/>
      <c r="F908" s="104"/>
    </row>
    <row r="909" spans="1:6" x14ac:dyDescent="0.2">
      <c r="A909" s="113"/>
      <c r="B909" s="103"/>
      <c r="C909" s="63"/>
      <c r="D909" s="118"/>
      <c r="E909" s="103"/>
      <c r="F909" s="104"/>
    </row>
    <row r="910" spans="1:6" x14ac:dyDescent="0.2">
      <c r="A910" s="113"/>
      <c r="B910" s="103"/>
      <c r="C910" s="63"/>
      <c r="D910" s="118"/>
      <c r="E910" s="103"/>
      <c r="F910" s="104"/>
    </row>
    <row r="911" spans="1:6" x14ac:dyDescent="0.2">
      <c r="A911" s="113"/>
      <c r="B911" s="103"/>
      <c r="C911" s="63"/>
      <c r="D911" s="118"/>
      <c r="E911" s="103"/>
      <c r="F911" s="104"/>
    </row>
    <row r="912" spans="1:6" x14ac:dyDescent="0.2">
      <c r="A912" s="113"/>
      <c r="B912" s="103"/>
      <c r="C912" s="63"/>
      <c r="D912" s="118"/>
      <c r="E912" s="103"/>
      <c r="F912" s="104"/>
    </row>
    <row r="913" spans="1:6" x14ac:dyDescent="0.2">
      <c r="A913" s="113"/>
      <c r="B913" s="103"/>
      <c r="C913" s="63"/>
      <c r="D913" s="118"/>
      <c r="E913" s="103"/>
      <c r="F913" s="104"/>
    </row>
    <row r="914" spans="1:6" x14ac:dyDescent="0.2">
      <c r="A914" s="113"/>
      <c r="B914" s="103"/>
      <c r="C914" s="63"/>
      <c r="D914" s="118"/>
      <c r="E914" s="103"/>
      <c r="F914" s="104"/>
    </row>
    <row r="915" spans="1:6" x14ac:dyDescent="0.2">
      <c r="A915" s="113"/>
      <c r="B915" s="103"/>
      <c r="C915" s="63"/>
      <c r="D915" s="118"/>
      <c r="E915" s="103"/>
      <c r="F915" s="104"/>
    </row>
    <row r="916" spans="1:6" x14ac:dyDescent="0.2">
      <c r="A916" s="113"/>
      <c r="B916" s="103"/>
      <c r="C916" s="63"/>
      <c r="D916" s="118"/>
      <c r="E916" s="103"/>
      <c r="F916" s="104"/>
    </row>
    <row r="917" spans="1:6" x14ac:dyDescent="0.2">
      <c r="A917" s="113"/>
      <c r="B917" s="103"/>
      <c r="C917" s="63"/>
      <c r="D917" s="118"/>
      <c r="E917" s="103"/>
      <c r="F917" s="104"/>
    </row>
    <row r="918" spans="1:6" x14ac:dyDescent="0.2">
      <c r="A918" s="113"/>
      <c r="B918" s="103"/>
      <c r="C918" s="63"/>
      <c r="D918" s="118"/>
      <c r="E918" s="103"/>
      <c r="F918" s="104"/>
    </row>
    <row r="919" spans="1:6" x14ac:dyDescent="0.2">
      <c r="A919" s="113"/>
      <c r="B919" s="103"/>
      <c r="C919" s="63"/>
      <c r="D919" s="118"/>
      <c r="E919" s="103"/>
      <c r="F919" s="104"/>
    </row>
    <row r="920" spans="1:6" x14ac:dyDescent="0.2">
      <c r="A920" s="113"/>
      <c r="B920" s="103"/>
      <c r="C920" s="63"/>
      <c r="D920" s="118"/>
      <c r="E920" s="103"/>
      <c r="F920" s="104"/>
    </row>
    <row r="921" spans="1:6" x14ac:dyDescent="0.2">
      <c r="A921" s="113"/>
      <c r="B921" s="103"/>
      <c r="C921" s="63"/>
      <c r="D921" s="118"/>
      <c r="E921" s="103"/>
      <c r="F921" s="104"/>
    </row>
    <row r="922" spans="1:6" x14ac:dyDescent="0.2">
      <c r="A922" s="113"/>
      <c r="B922" s="103"/>
      <c r="C922" s="63"/>
      <c r="D922" s="118"/>
      <c r="E922" s="103"/>
      <c r="F922" s="104"/>
    </row>
    <row r="923" spans="1:6" x14ac:dyDescent="0.2">
      <c r="A923" s="113"/>
      <c r="B923" s="103"/>
      <c r="C923" s="63"/>
      <c r="D923" s="118"/>
      <c r="E923" s="103"/>
      <c r="F923" s="104"/>
    </row>
    <row r="924" spans="1:6" x14ac:dyDescent="0.2">
      <c r="A924" s="113"/>
      <c r="B924" s="103"/>
      <c r="C924" s="63"/>
      <c r="D924" s="118"/>
      <c r="E924" s="103"/>
      <c r="F924" s="104"/>
    </row>
    <row r="925" spans="1:6" x14ac:dyDescent="0.2">
      <c r="A925" s="113"/>
      <c r="B925" s="103"/>
      <c r="C925" s="63"/>
      <c r="D925" s="118"/>
      <c r="E925" s="103"/>
      <c r="F925" s="104"/>
    </row>
    <row r="926" spans="1:6" x14ac:dyDescent="0.2">
      <c r="A926" s="113"/>
      <c r="B926" s="103"/>
      <c r="C926" s="63"/>
      <c r="D926" s="118"/>
      <c r="E926" s="103"/>
      <c r="F926" s="104"/>
    </row>
    <row r="927" spans="1:6" x14ac:dyDescent="0.2">
      <c r="A927" s="113"/>
      <c r="B927" s="103"/>
      <c r="C927" s="63"/>
      <c r="D927" s="118"/>
      <c r="E927" s="103"/>
      <c r="F927" s="104"/>
    </row>
    <row r="928" spans="1:6" x14ac:dyDescent="0.2">
      <c r="A928" s="113"/>
      <c r="B928" s="103"/>
      <c r="C928" s="63"/>
      <c r="D928" s="118"/>
      <c r="E928" s="103"/>
      <c r="F928" s="104"/>
    </row>
    <row r="929" spans="1:6" x14ac:dyDescent="0.2">
      <c r="A929" s="113"/>
      <c r="B929" s="103"/>
      <c r="C929" s="63"/>
      <c r="D929" s="118"/>
      <c r="E929" s="103"/>
      <c r="F929" s="104"/>
    </row>
    <row r="930" spans="1:6" x14ac:dyDescent="0.2">
      <c r="A930" s="113"/>
      <c r="B930" s="103"/>
      <c r="C930" s="63"/>
      <c r="D930" s="118"/>
      <c r="E930" s="103"/>
      <c r="F930" s="104"/>
    </row>
    <row r="931" spans="1:6" x14ac:dyDescent="0.2">
      <c r="A931" s="113"/>
      <c r="B931" s="103"/>
      <c r="C931" s="63"/>
      <c r="D931" s="118"/>
      <c r="E931" s="103"/>
      <c r="F931" s="104"/>
    </row>
    <row r="932" spans="1:6" x14ac:dyDescent="0.2">
      <c r="A932" s="113"/>
      <c r="B932" s="103"/>
      <c r="C932" s="63"/>
      <c r="D932" s="118"/>
      <c r="E932" s="103"/>
      <c r="F932" s="104"/>
    </row>
    <row r="933" spans="1:6" x14ac:dyDescent="0.2">
      <c r="A933" s="113"/>
      <c r="B933" s="103"/>
      <c r="C933" s="63"/>
      <c r="D933" s="118"/>
      <c r="E933" s="103"/>
      <c r="F933" s="104"/>
    </row>
    <row r="934" spans="1:6" x14ac:dyDescent="0.2">
      <c r="A934" s="113"/>
      <c r="B934" s="103"/>
      <c r="C934" s="63"/>
      <c r="D934" s="118"/>
      <c r="E934" s="103"/>
      <c r="F934" s="104"/>
    </row>
    <row r="935" spans="1:6" x14ac:dyDescent="0.2">
      <c r="A935" s="113"/>
      <c r="B935" s="103"/>
      <c r="C935" s="63"/>
      <c r="D935" s="118"/>
      <c r="E935" s="103"/>
      <c r="F935" s="104"/>
    </row>
    <row r="936" spans="1:6" x14ac:dyDescent="0.2">
      <c r="A936" s="113"/>
      <c r="B936" s="103"/>
      <c r="C936" s="63"/>
      <c r="D936" s="118"/>
      <c r="E936" s="103"/>
      <c r="F936" s="104"/>
    </row>
    <row r="937" spans="1:6" x14ac:dyDescent="0.2">
      <c r="A937" s="113"/>
      <c r="B937" s="103"/>
      <c r="C937" s="63"/>
      <c r="D937" s="118"/>
      <c r="E937" s="103"/>
      <c r="F937" s="104"/>
    </row>
    <row r="938" spans="1:6" x14ac:dyDescent="0.2">
      <c r="A938" s="113"/>
      <c r="B938" s="103"/>
      <c r="C938" s="63"/>
      <c r="D938" s="118"/>
      <c r="E938" s="103"/>
      <c r="F938" s="104"/>
    </row>
    <row r="939" spans="1:6" x14ac:dyDescent="0.2">
      <c r="A939" s="113"/>
      <c r="B939" s="103"/>
      <c r="C939" s="63"/>
      <c r="D939" s="118"/>
      <c r="E939" s="103"/>
      <c r="F939" s="104"/>
    </row>
    <row r="940" spans="1:6" x14ac:dyDescent="0.2">
      <c r="A940" s="113"/>
      <c r="B940" s="103"/>
      <c r="C940" s="63"/>
      <c r="D940" s="118"/>
      <c r="E940" s="103"/>
      <c r="F940" s="104"/>
    </row>
    <row r="941" spans="1:6" x14ac:dyDescent="0.2">
      <c r="A941" s="113"/>
      <c r="B941" s="103"/>
      <c r="C941" s="63"/>
      <c r="D941" s="118"/>
      <c r="E941" s="103"/>
      <c r="F941" s="104"/>
    </row>
    <row r="942" spans="1:6" x14ac:dyDescent="0.2">
      <c r="A942" s="113"/>
      <c r="B942" s="103"/>
      <c r="C942" s="63"/>
      <c r="D942" s="118"/>
      <c r="E942" s="103"/>
      <c r="F942" s="104"/>
    </row>
    <row r="943" spans="1:6" x14ac:dyDescent="0.2">
      <c r="A943" s="113"/>
      <c r="B943" s="103"/>
      <c r="C943" s="63"/>
      <c r="D943" s="118"/>
      <c r="E943" s="103"/>
      <c r="F943" s="104"/>
    </row>
    <row r="944" spans="1:6" x14ac:dyDescent="0.2">
      <c r="A944" s="113"/>
      <c r="B944" s="103"/>
      <c r="C944" s="63"/>
      <c r="D944" s="118"/>
      <c r="E944" s="103"/>
      <c r="F944" s="104"/>
    </row>
    <row r="945" spans="1:6" x14ac:dyDescent="0.2">
      <c r="A945" s="113"/>
      <c r="B945" s="103"/>
      <c r="C945" s="63"/>
      <c r="D945" s="118"/>
      <c r="E945" s="103"/>
      <c r="F945" s="104"/>
    </row>
    <row r="946" spans="1:6" x14ac:dyDescent="0.2">
      <c r="A946" s="113"/>
      <c r="B946" s="103"/>
      <c r="C946" s="63"/>
      <c r="D946" s="118"/>
      <c r="E946" s="103"/>
      <c r="F946" s="104"/>
    </row>
    <row r="947" spans="1:6" x14ac:dyDescent="0.2">
      <c r="A947" s="113"/>
      <c r="B947" s="103"/>
      <c r="C947" s="63"/>
      <c r="D947" s="118"/>
      <c r="E947" s="103"/>
      <c r="F947" s="104"/>
    </row>
    <row r="948" spans="1:6" x14ac:dyDescent="0.2">
      <c r="A948" s="113"/>
      <c r="B948" s="103"/>
      <c r="C948" s="63"/>
      <c r="D948" s="118"/>
      <c r="E948" s="103"/>
      <c r="F948" s="104"/>
    </row>
    <row r="949" spans="1:6" x14ac:dyDescent="0.2">
      <c r="A949" s="113"/>
      <c r="B949" s="103"/>
      <c r="C949" s="63"/>
      <c r="D949" s="118"/>
      <c r="E949" s="103"/>
      <c r="F949" s="104"/>
    </row>
    <row r="950" spans="1:6" x14ac:dyDescent="0.2">
      <c r="A950" s="113"/>
      <c r="B950" s="103"/>
      <c r="C950" s="63"/>
      <c r="D950" s="118"/>
      <c r="E950" s="103"/>
      <c r="F950" s="104"/>
    </row>
    <row r="951" spans="1:6" x14ac:dyDescent="0.2">
      <c r="A951" s="113"/>
      <c r="B951" s="103"/>
      <c r="C951" s="63"/>
      <c r="D951" s="118"/>
      <c r="E951" s="103"/>
      <c r="F951" s="104"/>
    </row>
    <row r="952" spans="1:6" x14ac:dyDescent="0.2">
      <c r="A952" s="113"/>
      <c r="B952" s="103"/>
      <c r="C952" s="63"/>
      <c r="D952" s="118"/>
      <c r="E952" s="103"/>
      <c r="F952" s="104"/>
    </row>
    <row r="953" spans="1:6" x14ac:dyDescent="0.2">
      <c r="A953" s="113"/>
      <c r="B953" s="103"/>
      <c r="C953" s="63"/>
      <c r="D953" s="118"/>
      <c r="E953" s="103"/>
      <c r="F953" s="104"/>
    </row>
    <row r="954" spans="1:6" x14ac:dyDescent="0.2">
      <c r="A954" s="113"/>
      <c r="B954" s="103"/>
      <c r="C954" s="63"/>
      <c r="D954" s="118"/>
      <c r="E954" s="103"/>
      <c r="F954" s="104"/>
    </row>
    <row r="955" spans="1:6" x14ac:dyDescent="0.2">
      <c r="A955" s="113"/>
      <c r="B955" s="103"/>
      <c r="C955" s="63"/>
      <c r="D955" s="118"/>
      <c r="E955" s="103"/>
      <c r="F955" s="104"/>
    </row>
    <row r="956" spans="1:6" x14ac:dyDescent="0.2">
      <c r="A956" s="113"/>
      <c r="B956" s="103"/>
      <c r="C956" s="63"/>
      <c r="D956" s="118"/>
      <c r="E956" s="103"/>
      <c r="F956" s="104"/>
    </row>
    <row r="957" spans="1:6" x14ac:dyDescent="0.2">
      <c r="A957" s="113"/>
      <c r="B957" s="103"/>
      <c r="C957" s="63"/>
      <c r="D957" s="118"/>
      <c r="E957" s="103"/>
      <c r="F957" s="104"/>
    </row>
    <row r="958" spans="1:6" x14ac:dyDescent="0.2">
      <c r="A958" s="113"/>
      <c r="B958" s="103"/>
      <c r="C958" s="63"/>
      <c r="D958" s="118"/>
      <c r="E958" s="103"/>
      <c r="F958" s="104"/>
    </row>
    <row r="959" spans="1:6" x14ac:dyDescent="0.2">
      <c r="A959" s="113"/>
      <c r="B959" s="103"/>
      <c r="C959" s="63"/>
      <c r="D959" s="118"/>
      <c r="E959" s="103"/>
      <c r="F959" s="104"/>
    </row>
    <row r="960" spans="1:6" x14ac:dyDescent="0.2">
      <c r="A960" s="113"/>
      <c r="B960" s="103"/>
      <c r="C960" s="63"/>
      <c r="D960" s="118"/>
      <c r="E960" s="103"/>
      <c r="F960" s="104"/>
    </row>
    <row r="961" spans="1:6" x14ac:dyDescent="0.2">
      <c r="A961" s="113"/>
      <c r="B961" s="103"/>
      <c r="C961" s="63"/>
      <c r="D961" s="118"/>
      <c r="E961" s="103"/>
      <c r="F961" s="104"/>
    </row>
    <row r="962" spans="1:6" x14ac:dyDescent="0.2">
      <c r="A962" s="113"/>
      <c r="B962" s="103"/>
      <c r="C962" s="63"/>
      <c r="D962" s="118"/>
      <c r="E962" s="103"/>
      <c r="F962" s="104"/>
    </row>
    <row r="963" spans="1:6" x14ac:dyDescent="0.2">
      <c r="A963" s="113"/>
      <c r="B963" s="103"/>
      <c r="C963" s="63"/>
      <c r="D963" s="118"/>
      <c r="E963" s="103"/>
      <c r="F963" s="104"/>
    </row>
    <row r="964" spans="1:6" x14ac:dyDescent="0.2">
      <c r="A964" s="113"/>
      <c r="B964" s="103"/>
      <c r="C964" s="63"/>
      <c r="D964" s="118"/>
      <c r="E964" s="103"/>
      <c r="F964" s="104"/>
    </row>
    <row r="965" spans="1:6" x14ac:dyDescent="0.2">
      <c r="A965" s="113"/>
      <c r="B965" s="103"/>
      <c r="C965" s="63"/>
      <c r="D965" s="118"/>
      <c r="E965" s="103"/>
      <c r="F965" s="104"/>
    </row>
    <row r="966" spans="1:6" x14ac:dyDescent="0.2">
      <c r="A966" s="113"/>
      <c r="B966" s="103"/>
      <c r="C966" s="63"/>
      <c r="D966" s="118"/>
      <c r="E966" s="103"/>
      <c r="F966" s="104"/>
    </row>
    <row r="967" spans="1:6" x14ac:dyDescent="0.2">
      <c r="A967" s="113"/>
      <c r="B967" s="103"/>
      <c r="C967" s="63"/>
      <c r="D967" s="118"/>
      <c r="E967" s="103"/>
      <c r="F967" s="104"/>
    </row>
    <row r="968" spans="1:6" x14ac:dyDescent="0.2">
      <c r="A968" s="113"/>
      <c r="B968" s="103"/>
      <c r="C968" s="63"/>
      <c r="D968" s="118"/>
      <c r="E968" s="103"/>
      <c r="F968" s="104"/>
    </row>
    <row r="969" spans="1:6" x14ac:dyDescent="0.2">
      <c r="A969" s="113"/>
      <c r="B969" s="103"/>
      <c r="C969" s="63"/>
      <c r="D969" s="118"/>
      <c r="E969" s="103"/>
      <c r="F969" s="104"/>
    </row>
    <row r="970" spans="1:6" x14ac:dyDescent="0.2">
      <c r="A970" s="113"/>
      <c r="B970" s="103"/>
      <c r="C970" s="63"/>
      <c r="D970" s="118"/>
      <c r="E970" s="103"/>
      <c r="F970" s="104"/>
    </row>
    <row r="971" spans="1:6" x14ac:dyDescent="0.2">
      <c r="A971" s="113"/>
      <c r="B971" s="103"/>
      <c r="C971" s="63"/>
      <c r="D971" s="118"/>
      <c r="E971" s="103"/>
      <c r="F971" s="104"/>
    </row>
    <row r="972" spans="1:6" x14ac:dyDescent="0.2">
      <c r="A972" s="113"/>
      <c r="B972" s="103"/>
      <c r="C972" s="63"/>
      <c r="D972" s="118"/>
      <c r="E972" s="103"/>
      <c r="F972" s="104"/>
    </row>
    <row r="973" spans="1:6" x14ac:dyDescent="0.2">
      <c r="A973" s="113"/>
      <c r="B973" s="103"/>
      <c r="C973" s="63"/>
      <c r="D973" s="118"/>
      <c r="E973" s="103"/>
      <c r="F973" s="104"/>
    </row>
    <row r="974" spans="1:6" x14ac:dyDescent="0.2">
      <c r="A974" s="113"/>
      <c r="B974" s="103"/>
      <c r="C974" s="63"/>
      <c r="D974" s="118"/>
      <c r="E974" s="103"/>
      <c r="F974" s="104"/>
    </row>
    <row r="975" spans="1:6" x14ac:dyDescent="0.2">
      <c r="A975" s="113"/>
      <c r="B975" s="103"/>
      <c r="C975" s="63"/>
      <c r="D975" s="118"/>
      <c r="E975" s="103"/>
      <c r="F975" s="104"/>
    </row>
    <row r="976" spans="1:6" x14ac:dyDescent="0.2">
      <c r="A976" s="113"/>
      <c r="B976" s="103"/>
      <c r="C976" s="63"/>
      <c r="D976" s="118"/>
      <c r="E976" s="103"/>
      <c r="F976" s="104"/>
    </row>
    <row r="977" spans="1:6" x14ac:dyDescent="0.2">
      <c r="A977" s="113"/>
      <c r="B977" s="103"/>
      <c r="C977" s="63"/>
      <c r="D977" s="118"/>
      <c r="E977" s="103"/>
      <c r="F977" s="104"/>
    </row>
    <row r="978" spans="1:6" x14ac:dyDescent="0.2">
      <c r="A978" s="113"/>
      <c r="B978" s="103"/>
      <c r="C978" s="63"/>
      <c r="D978" s="118"/>
      <c r="E978" s="103"/>
      <c r="F978" s="104"/>
    </row>
    <row r="979" spans="1:6" x14ac:dyDescent="0.2">
      <c r="A979" s="113"/>
      <c r="B979" s="103"/>
      <c r="C979" s="63"/>
      <c r="D979" s="118"/>
      <c r="E979" s="103"/>
      <c r="F979" s="104"/>
    </row>
    <row r="980" spans="1:6" x14ac:dyDescent="0.2">
      <c r="A980" s="113"/>
      <c r="B980" s="103"/>
      <c r="C980" s="63"/>
      <c r="D980" s="118"/>
      <c r="E980" s="103"/>
      <c r="F980" s="104"/>
    </row>
    <row r="981" spans="1:6" x14ac:dyDescent="0.2">
      <c r="A981" s="113"/>
      <c r="B981" s="103"/>
      <c r="C981" s="63"/>
      <c r="D981" s="118"/>
      <c r="E981" s="103"/>
      <c r="F981" s="104"/>
    </row>
    <row r="982" spans="1:6" x14ac:dyDescent="0.2">
      <c r="A982" s="113"/>
      <c r="B982" s="103"/>
      <c r="C982" s="63"/>
      <c r="D982" s="118"/>
      <c r="E982" s="103"/>
      <c r="F982" s="104"/>
    </row>
    <row r="983" spans="1:6" x14ac:dyDescent="0.2">
      <c r="A983" s="113"/>
      <c r="B983" s="103"/>
      <c r="C983" s="63"/>
      <c r="D983" s="118"/>
      <c r="E983" s="103"/>
      <c r="F983" s="104"/>
    </row>
    <row r="984" spans="1:6" x14ac:dyDescent="0.2">
      <c r="A984" s="113"/>
      <c r="B984" s="103"/>
      <c r="C984" s="63"/>
      <c r="D984" s="118"/>
      <c r="E984" s="103"/>
      <c r="F984" s="104"/>
    </row>
    <row r="985" spans="1:6" x14ac:dyDescent="0.2">
      <c r="A985" s="113"/>
      <c r="B985" s="103"/>
      <c r="C985" s="63"/>
      <c r="D985" s="118"/>
      <c r="E985" s="103"/>
      <c r="F985" s="104"/>
    </row>
    <row r="986" spans="1:6" x14ac:dyDescent="0.2">
      <c r="A986" s="113"/>
      <c r="B986" s="103"/>
      <c r="C986" s="63"/>
      <c r="D986" s="118"/>
      <c r="E986" s="103"/>
      <c r="F986" s="104"/>
    </row>
    <row r="987" spans="1:6" x14ac:dyDescent="0.2">
      <c r="A987" s="113"/>
      <c r="B987" s="103"/>
      <c r="C987" s="63"/>
      <c r="D987" s="118"/>
      <c r="E987" s="103"/>
      <c r="F987" s="104"/>
    </row>
    <row r="988" spans="1:6" x14ac:dyDescent="0.2">
      <c r="A988" s="113"/>
      <c r="B988" s="103"/>
      <c r="C988" s="63"/>
      <c r="D988" s="118"/>
      <c r="E988" s="103"/>
      <c r="F988" s="104"/>
    </row>
    <row r="989" spans="1:6" x14ac:dyDescent="0.2">
      <c r="A989" s="113"/>
      <c r="B989" s="103"/>
      <c r="C989" s="63"/>
      <c r="D989" s="118"/>
      <c r="E989" s="103"/>
      <c r="F989" s="104"/>
    </row>
    <row r="990" spans="1:6" x14ac:dyDescent="0.2">
      <c r="A990" s="113"/>
      <c r="B990" s="103"/>
      <c r="C990" s="63"/>
      <c r="D990" s="118"/>
      <c r="E990" s="103"/>
      <c r="F990" s="104"/>
    </row>
    <row r="991" spans="1:6" x14ac:dyDescent="0.2">
      <c r="A991" s="113"/>
      <c r="B991" s="103"/>
      <c r="C991" s="63"/>
      <c r="D991" s="118"/>
      <c r="E991" s="103"/>
      <c r="F991" s="104"/>
    </row>
    <row r="992" spans="1:6" x14ac:dyDescent="0.2">
      <c r="A992" s="113"/>
      <c r="B992" s="103"/>
      <c r="C992" s="63"/>
      <c r="D992" s="118"/>
      <c r="E992" s="103"/>
      <c r="F992" s="104"/>
    </row>
    <row r="993" spans="1:6" x14ac:dyDescent="0.2">
      <c r="A993" s="113"/>
      <c r="B993" s="107"/>
      <c r="C993" s="119"/>
      <c r="D993" s="125"/>
      <c r="E993" s="107"/>
      <c r="F993" s="108"/>
    </row>
    <row r="994" spans="1:6" x14ac:dyDescent="0.2">
      <c r="A994" s="113"/>
    </row>
    <row r="995" spans="1:6" x14ac:dyDescent="0.2">
      <c r="A995" s="113"/>
    </row>
    <row r="996" spans="1:6" x14ac:dyDescent="0.2">
      <c r="A996" s="113"/>
    </row>
    <row r="997" spans="1:6" x14ac:dyDescent="0.2">
      <c r="A997" s="113"/>
    </row>
    <row r="998" spans="1:6" x14ac:dyDescent="0.2">
      <c r="A998" s="113"/>
    </row>
    <row r="999" spans="1:6" x14ac:dyDescent="0.2">
      <c r="A999" s="113"/>
    </row>
    <row r="1000" spans="1:6" x14ac:dyDescent="0.2">
      <c r="A1000" s="113"/>
    </row>
    <row r="1001" spans="1:6" x14ac:dyDescent="0.2">
      <c r="A1001" s="113"/>
    </row>
    <row r="1002" spans="1:6" x14ac:dyDescent="0.2">
      <c r="A1002" s="113"/>
    </row>
    <row r="1003" spans="1:6" x14ac:dyDescent="0.2">
      <c r="A1003" s="113"/>
    </row>
    <row r="1004" spans="1:6" x14ac:dyDescent="0.2">
      <c r="A1004" s="113"/>
    </row>
    <row r="1005" spans="1:6" x14ac:dyDescent="0.2">
      <c r="A1005" s="113"/>
    </row>
    <row r="1006" spans="1:6" x14ac:dyDescent="0.2">
      <c r="A1006" s="113"/>
    </row>
    <row r="1007" spans="1:6" x14ac:dyDescent="0.2">
      <c r="A1007" s="113"/>
    </row>
    <row r="1008" spans="1:6" x14ac:dyDescent="0.2">
      <c r="A1008" s="113"/>
    </row>
    <row r="1009" spans="1:1" x14ac:dyDescent="0.2">
      <c r="A1009" s="113"/>
    </row>
    <row r="1010" spans="1:1" x14ac:dyDescent="0.2">
      <c r="A1010" s="113"/>
    </row>
    <row r="1011" spans="1:1" x14ac:dyDescent="0.2">
      <c r="A1011" s="113"/>
    </row>
    <row r="1012" spans="1:1" x14ac:dyDescent="0.2">
      <c r="A1012" s="113"/>
    </row>
    <row r="1013" spans="1:1" x14ac:dyDescent="0.2">
      <c r="A1013" s="113"/>
    </row>
    <row r="1014" spans="1:1" x14ac:dyDescent="0.2">
      <c r="A1014" s="113"/>
    </row>
    <row r="1015" spans="1:1" x14ac:dyDescent="0.2">
      <c r="A1015" s="113"/>
    </row>
    <row r="1016" spans="1:1" x14ac:dyDescent="0.2">
      <c r="A1016" s="113"/>
    </row>
    <row r="1017" spans="1:1" x14ac:dyDescent="0.2">
      <c r="A1017" s="113"/>
    </row>
    <row r="1018" spans="1:1" x14ac:dyDescent="0.2">
      <c r="A1018" s="113"/>
    </row>
    <row r="1019" spans="1:1" x14ac:dyDescent="0.2">
      <c r="A1019" s="113"/>
    </row>
    <row r="1020" spans="1:1" x14ac:dyDescent="0.2">
      <c r="A1020" s="113"/>
    </row>
    <row r="1021" spans="1:1" x14ac:dyDescent="0.2">
      <c r="A1021" s="113"/>
    </row>
    <row r="1022" spans="1:1" x14ac:dyDescent="0.2">
      <c r="A1022" s="113"/>
    </row>
    <row r="1023" spans="1:1" x14ac:dyDescent="0.2">
      <c r="A1023" s="113"/>
    </row>
    <row r="1024" spans="1:1" x14ac:dyDescent="0.2">
      <c r="A1024" s="113"/>
    </row>
    <row r="1025" spans="1:1" x14ac:dyDescent="0.2">
      <c r="A1025" s="113"/>
    </row>
    <row r="1026" spans="1:1" x14ac:dyDescent="0.2">
      <c r="A1026" s="113"/>
    </row>
    <row r="1027" spans="1:1" x14ac:dyDescent="0.2">
      <c r="A1027" s="113"/>
    </row>
    <row r="1028" spans="1:1" x14ac:dyDescent="0.2">
      <c r="A1028" s="113"/>
    </row>
    <row r="1029" spans="1:1" x14ac:dyDescent="0.2">
      <c r="A1029" s="113"/>
    </row>
    <row r="1030" spans="1:1" x14ac:dyDescent="0.2">
      <c r="A1030" s="113"/>
    </row>
    <row r="1031" spans="1:1" x14ac:dyDescent="0.2">
      <c r="A1031" s="113"/>
    </row>
    <row r="1032" spans="1:1" x14ac:dyDescent="0.2">
      <c r="A1032" s="113"/>
    </row>
    <row r="1033" spans="1:1" x14ac:dyDescent="0.2">
      <c r="A1033" s="113"/>
    </row>
    <row r="1034" spans="1:1" x14ac:dyDescent="0.2">
      <c r="A1034" s="113"/>
    </row>
    <row r="1035" spans="1:1" x14ac:dyDescent="0.2">
      <c r="A1035" s="113"/>
    </row>
    <row r="1036" spans="1:1" x14ac:dyDescent="0.2">
      <c r="A1036" s="113"/>
    </row>
    <row r="1037" spans="1:1" x14ac:dyDescent="0.2">
      <c r="A1037" s="113"/>
    </row>
    <row r="1038" spans="1:1" x14ac:dyDescent="0.2">
      <c r="A1038" s="113"/>
    </row>
    <row r="1039" spans="1:1" x14ac:dyDescent="0.2">
      <c r="A1039" s="113"/>
    </row>
    <row r="1040" spans="1:1" x14ac:dyDescent="0.2">
      <c r="A1040" s="113"/>
    </row>
    <row r="1041" spans="1:1" x14ac:dyDescent="0.2">
      <c r="A1041" s="115"/>
    </row>
  </sheetData>
  <mergeCells count="1">
    <mergeCell ref="B9:D9"/>
  </mergeCells>
  <dataValidations count="1">
    <dataValidation type="list" allowBlank="1" showInputMessage="1" showErrorMessage="1" sqref="B4">
      <formula1>"Annual,Semi-Annual"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2"/>
  <sheetViews>
    <sheetView tabSelected="1" workbookViewId="0">
      <selection activeCell="E9" sqref="E9"/>
    </sheetView>
  </sheetViews>
  <sheetFormatPr baseColWidth="10" defaultRowHeight="16" x14ac:dyDescent="0.2"/>
  <cols>
    <col min="1" max="1" width="7.83203125" customWidth="1"/>
    <col min="2" max="3" width="23.5" customWidth="1"/>
  </cols>
  <sheetData>
    <row r="1" spans="1:3" x14ac:dyDescent="0.2">
      <c r="A1" s="143" t="s">
        <v>85</v>
      </c>
      <c r="B1" s="145" t="s">
        <v>86</v>
      </c>
      <c r="C1" s="145" t="s">
        <v>87</v>
      </c>
    </row>
    <row r="2" spans="1:3" x14ac:dyDescent="0.2">
      <c r="A2">
        <v>0</v>
      </c>
      <c r="B2" s="144"/>
      <c r="C2" s="144"/>
    </row>
    <row r="3" spans="1:3" x14ac:dyDescent="0.2">
      <c r="A3">
        <v>1</v>
      </c>
      <c r="B3" s="144"/>
      <c r="C3" s="144"/>
    </row>
    <row r="4" spans="1:3" x14ac:dyDescent="0.2">
      <c r="A4">
        <v>2</v>
      </c>
      <c r="B4" s="144"/>
      <c r="C4" s="144"/>
    </row>
    <row r="5" spans="1:3" x14ac:dyDescent="0.2">
      <c r="A5">
        <v>3</v>
      </c>
      <c r="B5" s="144">
        <v>412.41372630000001</v>
      </c>
      <c r="C5" s="144"/>
    </row>
    <row r="6" spans="1:3" x14ac:dyDescent="0.2">
      <c r="A6">
        <v>4</v>
      </c>
      <c r="B6" s="144"/>
      <c r="C6" s="144"/>
    </row>
    <row r="7" spans="1:3" x14ac:dyDescent="0.2">
      <c r="A7">
        <v>5</v>
      </c>
      <c r="B7" s="144"/>
      <c r="C7" s="144"/>
    </row>
    <row r="8" spans="1:3" x14ac:dyDescent="0.2">
      <c r="A8">
        <v>6</v>
      </c>
      <c r="B8" s="144"/>
      <c r="C8" s="144"/>
    </row>
    <row r="9" spans="1:3" x14ac:dyDescent="0.2">
      <c r="A9">
        <v>7</v>
      </c>
      <c r="B9" s="144"/>
      <c r="C9" s="144"/>
    </row>
    <row r="10" spans="1:3" x14ac:dyDescent="0.2">
      <c r="A10">
        <v>8</v>
      </c>
      <c r="B10" s="144"/>
      <c r="C10" s="144"/>
    </row>
    <row r="11" spans="1:3" x14ac:dyDescent="0.2">
      <c r="A11">
        <v>9</v>
      </c>
      <c r="B11" s="144"/>
      <c r="C11" s="144"/>
    </row>
    <row r="12" spans="1:3" x14ac:dyDescent="0.2">
      <c r="A12">
        <v>10</v>
      </c>
      <c r="B12" s="144"/>
      <c r="C12" s="1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Investment_Growth</vt:lpstr>
      <vt:lpstr>Calcul_Math-fin</vt:lpstr>
      <vt:lpstr>Loan_Amort</vt:lpstr>
      <vt:lpstr>Net_Present_Value</vt:lpstr>
      <vt:lpstr>Time_vs_Dollar_rate</vt:lpstr>
      <vt:lpstr>Bond_Amort</vt:lpstr>
      <vt:lpstr>spot_foward_rate</vt:lpstr>
      <vt:lpstr>Duration_Convexity</vt:lpstr>
      <vt:lpstr>Immunization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de Microsoft Office</dc:creator>
  <cp:lastModifiedBy>Gabriel Crépeault-Cauchon</cp:lastModifiedBy>
  <cp:lastPrinted>2017-11-29T15:48:01Z</cp:lastPrinted>
  <dcterms:created xsi:type="dcterms:W3CDTF">2017-09-11T11:42:33Z</dcterms:created>
  <dcterms:modified xsi:type="dcterms:W3CDTF">2017-12-08T15:03:40Z</dcterms:modified>
</cp:coreProperties>
</file>